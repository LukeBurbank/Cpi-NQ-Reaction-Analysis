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partansut-my.sharepoint.com/personal/luke_burbank_spartans_ut_edu/Documents/"/>
    </mc:Choice>
  </mc:AlternateContent>
  <xr:revisionPtr revIDLastSave="0" documentId="8_{9F38DC75-183F-48E1-A394-8D33A4B867ED}" xr6:coauthVersionLast="47" xr6:coauthVersionMax="47" xr10:uidLastSave="{00000000-0000-0000-0000-000000000000}"/>
  <bookViews>
    <workbookView xWindow="0" yWindow="0" windowWidth="28800" windowHeight="18000" firstSheet="2" xr2:uid="{00000000-000D-0000-FFFF-FFFF00000000}"/>
  </bookViews>
  <sheets>
    <sheet name="CPI Data" sheetId="1" r:id="rId1"/>
    <sheet name="ANALYSIS" sheetId="2" r:id="rId2"/>
    <sheet name="Chart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3" i="3" l="1"/>
  <c r="AQ4" i="3"/>
  <c r="AQ5" i="3"/>
  <c r="AQ6" i="3"/>
  <c r="AQ7" i="3"/>
  <c r="AQ8" i="3"/>
  <c r="AQ9" i="3"/>
  <c r="AQ10" i="3"/>
  <c r="AQ11" i="3"/>
  <c r="AQ12" i="3"/>
  <c r="AQ13" i="3"/>
  <c r="AQ14" i="3"/>
  <c r="AQ15" i="3"/>
  <c r="AQ16" i="3"/>
  <c r="AQ17" i="3"/>
  <c r="AQ18" i="3"/>
  <c r="AQ19" i="3"/>
  <c r="AQ20" i="3"/>
  <c r="AQ21" i="3"/>
  <c r="AQ22" i="3"/>
  <c r="AQ23" i="3"/>
  <c r="AQ24" i="3"/>
  <c r="AQ25" i="3"/>
  <c r="AQ26" i="3"/>
  <c r="AQ27" i="3"/>
  <c r="AQ28" i="3"/>
  <c r="AQ29" i="3"/>
  <c r="AQ30" i="3"/>
  <c r="AQ31" i="3"/>
  <c r="AQ32" i="3"/>
  <c r="AQ33" i="3"/>
  <c r="AQ34" i="3"/>
  <c r="AQ35" i="3"/>
  <c r="AQ36" i="3"/>
  <c r="AQ37" i="3"/>
  <c r="AQ38" i="3"/>
  <c r="AQ39" i="3"/>
  <c r="AQ40" i="3"/>
  <c r="AQ41" i="3"/>
  <c r="AQ42" i="3"/>
  <c r="AQ43" i="3"/>
  <c r="AQ44" i="3"/>
  <c r="AQ45" i="3"/>
  <c r="AQ46" i="3"/>
  <c r="AQ47" i="3"/>
  <c r="AQ48" i="3"/>
  <c r="AQ49" i="3"/>
  <c r="AQ50" i="3"/>
  <c r="AQ51" i="3"/>
  <c r="AQ52" i="3"/>
  <c r="AP3" i="3"/>
  <c r="AP4" i="3"/>
  <c r="AP5" i="3"/>
  <c r="AP6" i="3"/>
  <c r="AP7" i="3"/>
  <c r="AP8" i="3"/>
  <c r="AP9" i="3"/>
  <c r="AP10" i="3"/>
  <c r="AP11" i="3"/>
  <c r="AP12" i="3"/>
  <c r="AP13" i="3"/>
  <c r="AP14" i="3"/>
  <c r="AP15" i="3"/>
  <c r="AP16" i="3"/>
  <c r="AP17" i="3"/>
  <c r="AP18" i="3"/>
  <c r="AP19" i="3"/>
  <c r="AP20" i="3"/>
  <c r="AP21" i="3"/>
  <c r="AP22" i="3"/>
  <c r="AP23" i="3"/>
  <c r="AP24" i="3"/>
  <c r="AP25" i="3"/>
  <c r="AP26" i="3"/>
  <c r="AP27" i="3"/>
  <c r="AP28" i="3"/>
  <c r="AP29" i="3"/>
  <c r="AP30" i="3"/>
  <c r="AP31" i="3"/>
  <c r="AP32" i="3"/>
  <c r="AP33" i="3"/>
  <c r="AP34" i="3"/>
  <c r="AP35" i="3"/>
  <c r="AP36" i="3"/>
  <c r="AP37" i="3"/>
  <c r="AP38" i="3"/>
  <c r="AP39" i="3"/>
  <c r="AP40" i="3"/>
  <c r="AP41" i="3"/>
  <c r="AP42" i="3"/>
  <c r="AP43" i="3"/>
  <c r="AP44" i="3"/>
  <c r="AP45" i="3"/>
  <c r="AP46" i="3"/>
  <c r="AP47" i="3"/>
  <c r="AP48" i="3"/>
  <c r="AP49" i="3"/>
  <c r="AP50" i="3"/>
  <c r="AP51" i="3"/>
  <c r="AP52" i="3"/>
  <c r="AQ2" i="3"/>
  <c r="AP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L46" i="3"/>
  <c r="L47" i="3"/>
  <c r="L48" i="3"/>
  <c r="L49" i="3"/>
  <c r="L50" i="3"/>
  <c r="L51" i="3"/>
  <c r="L52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M2" i="3"/>
  <c r="L2" i="3"/>
  <c r="Q2" i="1" a="1"/>
  <c r="Q2" i="1" s="1"/>
  <c r="B61" i="2"/>
  <c r="B60" i="2"/>
  <c r="B59" i="2"/>
  <c r="B58" i="2"/>
  <c r="B56" i="2"/>
  <c r="B55" i="2"/>
  <c r="B54" i="2"/>
  <c r="B53" i="2"/>
  <c r="B38" i="2"/>
  <c r="B37" i="2"/>
  <c r="B36" i="2"/>
  <c r="B35" i="2"/>
  <c r="B50" i="2" a="1"/>
  <c r="B50" i="2" s="1"/>
  <c r="B49" i="2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7" i="1"/>
  <c r="D38" i="1"/>
  <c r="R38" i="1" s="1"/>
  <c r="D39" i="1"/>
  <c r="D40" i="1"/>
  <c r="D41" i="1"/>
  <c r="R41" i="1" s="1"/>
  <c r="D42" i="1"/>
  <c r="D43" i="1"/>
  <c r="R43" i="1" s="1"/>
  <c r="D44" i="1"/>
  <c r="D45" i="1"/>
  <c r="D46" i="1"/>
  <c r="R46" i="1" s="1"/>
  <c r="D47" i="1"/>
  <c r="D48" i="1"/>
  <c r="D49" i="1"/>
  <c r="D50" i="1"/>
  <c r="D51" i="1"/>
  <c r="R51" i="1" s="1"/>
  <c r="D52" i="1"/>
  <c r="R3" i="1"/>
  <c r="R4" i="1"/>
  <c r="R5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7" i="1"/>
  <c r="R42" i="1"/>
  <c r="R44" i="1"/>
  <c r="R45" i="1"/>
  <c r="R50" i="1"/>
  <c r="R52" i="1"/>
  <c r="R2" i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B47" i="2" a="1"/>
  <c r="B47" i="2"/>
  <c r="B46" i="2"/>
  <c r="B45" i="2"/>
  <c r="B44" i="2"/>
  <c r="B43" i="2"/>
  <c r="B42" i="2"/>
  <c r="B41" i="2"/>
  <c r="D3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2" i="1"/>
  <c r="M13" i="1"/>
  <c r="K2" i="1"/>
  <c r="N2" i="1"/>
  <c r="M2" i="1"/>
  <c r="L2" i="1"/>
  <c r="M20" i="1"/>
  <c r="P20" i="1" a="1"/>
  <c r="P20" i="1"/>
  <c r="P13" i="1" a="1"/>
  <c r="P13" i="1"/>
  <c r="P2" i="1" a="1"/>
  <c r="P2" i="1" s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M3" i="1"/>
  <c r="P3" i="1" s="1" a="1"/>
  <c r="P3" i="1" s="1"/>
  <c r="M4" i="1"/>
  <c r="P4" i="1" s="1" a="1"/>
  <c r="P4" i="1" s="1"/>
  <c r="M5" i="1"/>
  <c r="P5" i="1" s="1" a="1"/>
  <c r="P5" i="1" s="1"/>
  <c r="M6" i="1"/>
  <c r="P6" i="1" s="1" a="1"/>
  <c r="P6" i="1" s="1"/>
  <c r="M7" i="1"/>
  <c r="P7" i="1" s="1" a="1"/>
  <c r="P7" i="1" s="1"/>
  <c r="M8" i="1"/>
  <c r="P8" i="1" s="1" a="1"/>
  <c r="P8" i="1" s="1"/>
  <c r="M9" i="1"/>
  <c r="P9" i="1" s="1" a="1"/>
  <c r="P9" i="1" s="1"/>
  <c r="M10" i="1"/>
  <c r="P10" i="1" s="1" a="1"/>
  <c r="P10" i="1" s="1"/>
  <c r="M11" i="1"/>
  <c r="P11" i="1" s="1" a="1"/>
  <c r="P11" i="1" s="1"/>
  <c r="M12" i="1"/>
  <c r="P12" i="1" s="1" a="1"/>
  <c r="P12" i="1" s="1"/>
  <c r="M14" i="1"/>
  <c r="P14" i="1" s="1" a="1"/>
  <c r="P14" i="1" s="1"/>
  <c r="M15" i="1"/>
  <c r="P15" i="1" s="1" a="1"/>
  <c r="P15" i="1" s="1"/>
  <c r="M16" i="1"/>
  <c r="P16" i="1" s="1" a="1"/>
  <c r="P16" i="1" s="1"/>
  <c r="M17" i="1"/>
  <c r="P17" i="1" s="1" a="1"/>
  <c r="P17" i="1" s="1"/>
  <c r="M18" i="1"/>
  <c r="P18" i="1" s="1" a="1"/>
  <c r="P18" i="1" s="1"/>
  <c r="M19" i="1"/>
  <c r="P19" i="1" s="1" a="1"/>
  <c r="P19" i="1" s="1"/>
  <c r="M21" i="1"/>
  <c r="P21" i="1" s="1" a="1"/>
  <c r="P21" i="1" s="1"/>
  <c r="M22" i="1"/>
  <c r="P22" i="1" s="1" a="1"/>
  <c r="P22" i="1" s="1"/>
  <c r="M23" i="1"/>
  <c r="P23" i="1" s="1" a="1"/>
  <c r="P23" i="1" s="1"/>
  <c r="M24" i="1"/>
  <c r="P24" i="1" s="1" a="1"/>
  <c r="P24" i="1" s="1"/>
  <c r="M25" i="1"/>
  <c r="P25" i="1" s="1" a="1"/>
  <c r="P25" i="1" s="1"/>
  <c r="M26" i="1"/>
  <c r="P26" i="1" s="1" a="1"/>
  <c r="P26" i="1" s="1"/>
  <c r="M27" i="1"/>
  <c r="P27" i="1" s="1" a="1"/>
  <c r="P27" i="1" s="1"/>
  <c r="M28" i="1"/>
  <c r="P28" i="1" s="1" a="1"/>
  <c r="P28" i="1" s="1"/>
  <c r="M29" i="1"/>
  <c r="P29" i="1" s="1" a="1"/>
  <c r="P29" i="1" s="1"/>
  <c r="M30" i="1"/>
  <c r="P30" i="1" s="1" a="1"/>
  <c r="P30" i="1" s="1"/>
  <c r="M31" i="1"/>
  <c r="P31" i="1" s="1" a="1"/>
  <c r="P31" i="1" s="1"/>
  <c r="M32" i="1"/>
  <c r="P32" i="1" s="1" a="1"/>
  <c r="P32" i="1" s="1"/>
  <c r="M33" i="1"/>
  <c r="P33" i="1" s="1" a="1"/>
  <c r="P33" i="1" s="1"/>
  <c r="M34" i="1"/>
  <c r="P34" i="1" s="1" a="1"/>
  <c r="P34" i="1" s="1"/>
  <c r="M35" i="1"/>
  <c r="P35" i="1" s="1" a="1"/>
  <c r="P35" i="1" s="1"/>
  <c r="M36" i="1"/>
  <c r="P36" i="1" s="1" a="1"/>
  <c r="P36" i="1" s="1"/>
  <c r="M37" i="1"/>
  <c r="P37" i="1" s="1" a="1"/>
  <c r="P37" i="1" s="1"/>
  <c r="M38" i="1"/>
  <c r="P38" i="1" s="1" a="1"/>
  <c r="P38" i="1" s="1"/>
  <c r="M39" i="1"/>
  <c r="P39" i="1" s="1" a="1"/>
  <c r="P39" i="1" s="1"/>
  <c r="M40" i="1"/>
  <c r="P40" i="1" s="1" a="1"/>
  <c r="P40" i="1" s="1"/>
  <c r="M41" i="1"/>
  <c r="P41" i="1" s="1" a="1"/>
  <c r="P41" i="1" s="1"/>
  <c r="M42" i="1"/>
  <c r="P42" i="1" s="1" a="1"/>
  <c r="P42" i="1" s="1"/>
  <c r="M43" i="1"/>
  <c r="P43" i="1" s="1" a="1"/>
  <c r="P43" i="1" s="1"/>
  <c r="M44" i="1"/>
  <c r="P44" i="1" s="1" a="1"/>
  <c r="P44" i="1" s="1"/>
  <c r="M45" i="1"/>
  <c r="P45" i="1" s="1" a="1"/>
  <c r="P45" i="1" s="1"/>
  <c r="M46" i="1"/>
  <c r="P46" i="1" s="1" a="1"/>
  <c r="P46" i="1" s="1"/>
  <c r="M47" i="1"/>
  <c r="P47" i="1" s="1" a="1"/>
  <c r="P47" i="1" s="1"/>
  <c r="M48" i="1"/>
  <c r="P48" i="1" s="1" a="1"/>
  <c r="P48" i="1" s="1"/>
  <c r="M49" i="1"/>
  <c r="P49" i="1" s="1" a="1"/>
  <c r="P49" i="1" s="1"/>
  <c r="M50" i="1"/>
  <c r="P50" i="1" s="1" a="1"/>
  <c r="P50" i="1" s="1"/>
  <c r="M51" i="1"/>
  <c r="P51" i="1" s="1" a="1"/>
  <c r="P51" i="1" s="1"/>
  <c r="M52" i="1"/>
  <c r="P52" i="1" s="1" a="1"/>
  <c r="P52" i="1" s="1"/>
  <c r="L13" i="1"/>
  <c r="K13" i="1"/>
  <c r="L7" i="1"/>
  <c r="L4" i="1"/>
  <c r="L5" i="1"/>
  <c r="L6" i="1"/>
  <c r="L8" i="1"/>
  <c r="L9" i="1"/>
  <c r="L10" i="1"/>
  <c r="L11" i="1"/>
  <c r="L12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3" i="1"/>
  <c r="K3" i="1"/>
  <c r="K4" i="1"/>
  <c r="K5" i="1"/>
  <c r="K6" i="1"/>
  <c r="K7" i="1"/>
  <c r="K8" i="1"/>
  <c r="K9" i="1"/>
  <c r="K10" i="1"/>
  <c r="K11" i="1"/>
  <c r="K12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I3" i="1"/>
  <c r="O3" i="1" s="1" a="1"/>
  <c r="O3" i="1" s="1"/>
  <c r="Q3" i="1" s="1" a="1"/>
  <c r="Q3" i="1" s="1"/>
  <c r="I4" i="1"/>
  <c r="O4" i="1" s="1" a="1"/>
  <c r="O4" i="1" s="1"/>
  <c r="Q4" i="1" s="1" a="1"/>
  <c r="Q4" i="1" s="1"/>
  <c r="I5" i="1"/>
  <c r="O5" i="1" s="1" a="1"/>
  <c r="O5" i="1" s="1"/>
  <c r="Q5" i="1" s="1" a="1"/>
  <c r="Q5" i="1" s="1"/>
  <c r="I6" i="1"/>
  <c r="O6" i="1" s="1" a="1"/>
  <c r="O6" i="1" s="1"/>
  <c r="Q6" i="1" s="1" a="1"/>
  <c r="Q6" i="1" s="1"/>
  <c r="I7" i="1"/>
  <c r="O7" i="1" s="1" a="1"/>
  <c r="O7" i="1" s="1"/>
  <c r="Q7" i="1" s="1" a="1"/>
  <c r="Q7" i="1" s="1"/>
  <c r="I8" i="1"/>
  <c r="O8" i="1" s="1" a="1"/>
  <c r="O8" i="1" s="1"/>
  <c r="Q8" i="1" s="1" a="1"/>
  <c r="Q8" i="1" s="1"/>
  <c r="I9" i="1"/>
  <c r="O9" i="1" s="1" a="1"/>
  <c r="O9" i="1" s="1"/>
  <c r="Q9" i="1" s="1" a="1"/>
  <c r="Q9" i="1" s="1"/>
  <c r="I10" i="1"/>
  <c r="O10" i="1" s="1" a="1"/>
  <c r="O10" i="1" s="1"/>
  <c r="Q10" i="1" s="1" a="1"/>
  <c r="Q10" i="1" s="1"/>
  <c r="I11" i="1"/>
  <c r="O11" i="1" s="1" a="1"/>
  <c r="O11" i="1" s="1"/>
  <c r="Q11" i="1" s="1" a="1"/>
  <c r="Q11" i="1" s="1"/>
  <c r="I12" i="1"/>
  <c r="O12" i="1" s="1" a="1"/>
  <c r="O12" i="1" s="1"/>
  <c r="Q12" i="1" s="1" a="1"/>
  <c r="Q12" i="1" s="1"/>
  <c r="I13" i="1"/>
  <c r="O13" i="1" s="1" a="1"/>
  <c r="O13" i="1" s="1"/>
  <c r="I14" i="1"/>
  <c r="O14" i="1" s="1" a="1"/>
  <c r="O14" i="1" s="1"/>
  <c r="Q14" i="1" s="1" a="1"/>
  <c r="Q14" i="1" s="1"/>
  <c r="I15" i="1"/>
  <c r="O15" i="1" s="1" a="1"/>
  <c r="O15" i="1" s="1"/>
  <c r="Q15" i="1" s="1" a="1"/>
  <c r="Q15" i="1" s="1"/>
  <c r="I16" i="1"/>
  <c r="O16" i="1" s="1" a="1"/>
  <c r="O16" i="1" s="1"/>
  <c r="Q16" i="1" s="1" a="1"/>
  <c r="Q16" i="1" s="1"/>
  <c r="I17" i="1"/>
  <c r="O17" i="1" s="1" a="1"/>
  <c r="O17" i="1" s="1"/>
  <c r="Q17" i="1" s="1" a="1"/>
  <c r="Q17" i="1" s="1"/>
  <c r="I18" i="1"/>
  <c r="O18" i="1" s="1" a="1"/>
  <c r="O18" i="1" s="1"/>
  <c r="Q18" i="1" s="1" a="1"/>
  <c r="Q18" i="1" s="1"/>
  <c r="I19" i="1"/>
  <c r="O19" i="1" s="1" a="1"/>
  <c r="O19" i="1" s="1"/>
  <c r="Q19" i="1" s="1" a="1"/>
  <c r="Q19" i="1" s="1"/>
  <c r="I20" i="1"/>
  <c r="O20" i="1" s="1" a="1"/>
  <c r="O20" i="1" s="1"/>
  <c r="Q20" i="1" s="1" a="1"/>
  <c r="Q20" i="1" s="1"/>
  <c r="I21" i="1"/>
  <c r="O21" i="1" s="1" a="1"/>
  <c r="O21" i="1" s="1"/>
  <c r="Q21" i="1" s="1" a="1"/>
  <c r="Q21" i="1" s="1"/>
  <c r="I22" i="1"/>
  <c r="O22" i="1" s="1" a="1"/>
  <c r="O22" i="1" s="1"/>
  <c r="Q22" i="1" s="1" a="1"/>
  <c r="Q22" i="1" s="1"/>
  <c r="I23" i="1"/>
  <c r="O23" i="1" s="1" a="1"/>
  <c r="O23" i="1" s="1"/>
  <c r="Q23" i="1" s="1" a="1"/>
  <c r="Q23" i="1" s="1"/>
  <c r="I24" i="1"/>
  <c r="O24" i="1" s="1" a="1"/>
  <c r="O24" i="1" s="1"/>
  <c r="Q24" i="1" s="1" a="1"/>
  <c r="Q24" i="1" s="1"/>
  <c r="I25" i="1"/>
  <c r="O25" i="1" s="1" a="1"/>
  <c r="O25" i="1" s="1"/>
  <c r="Q25" i="1" s="1" a="1"/>
  <c r="Q25" i="1" s="1"/>
  <c r="I26" i="1"/>
  <c r="O26" i="1" s="1" a="1"/>
  <c r="O26" i="1" s="1"/>
  <c r="Q26" i="1" s="1" a="1"/>
  <c r="Q26" i="1" s="1"/>
  <c r="I27" i="1"/>
  <c r="O27" i="1" s="1" a="1"/>
  <c r="O27" i="1" s="1"/>
  <c r="Q27" i="1" s="1" a="1"/>
  <c r="Q27" i="1" s="1"/>
  <c r="I28" i="1"/>
  <c r="O28" i="1" s="1" a="1"/>
  <c r="O28" i="1" s="1"/>
  <c r="Q28" i="1" s="1" a="1"/>
  <c r="Q28" i="1" s="1"/>
  <c r="I29" i="1"/>
  <c r="O29" i="1" s="1" a="1"/>
  <c r="O29" i="1" s="1"/>
  <c r="Q29" i="1" s="1" a="1"/>
  <c r="Q29" i="1" s="1"/>
  <c r="I30" i="1"/>
  <c r="O30" i="1" s="1" a="1"/>
  <c r="O30" i="1" s="1"/>
  <c r="Q30" i="1" s="1" a="1"/>
  <c r="Q30" i="1" s="1"/>
  <c r="I31" i="1"/>
  <c r="O31" i="1" s="1" a="1"/>
  <c r="O31" i="1" s="1"/>
  <c r="Q31" i="1" s="1" a="1"/>
  <c r="Q31" i="1" s="1"/>
  <c r="I32" i="1"/>
  <c r="O32" i="1" s="1" a="1"/>
  <c r="O32" i="1" s="1"/>
  <c r="Q32" i="1" s="1" a="1"/>
  <c r="Q32" i="1" s="1"/>
  <c r="I33" i="1"/>
  <c r="O33" i="1" s="1" a="1"/>
  <c r="O33" i="1" s="1"/>
  <c r="Q33" i="1" s="1" a="1"/>
  <c r="Q33" i="1" s="1"/>
  <c r="I34" i="1"/>
  <c r="O34" i="1" s="1" a="1"/>
  <c r="O34" i="1" s="1"/>
  <c r="Q34" i="1" s="1" a="1"/>
  <c r="Q34" i="1" s="1"/>
  <c r="I35" i="1"/>
  <c r="O35" i="1" s="1" a="1"/>
  <c r="O35" i="1" s="1"/>
  <c r="Q35" i="1" s="1" a="1"/>
  <c r="Q35" i="1" s="1"/>
  <c r="I36" i="1"/>
  <c r="O36" i="1" s="1" a="1"/>
  <c r="O36" i="1" s="1"/>
  <c r="Q36" i="1" s="1" a="1"/>
  <c r="Q36" i="1" s="1"/>
  <c r="I37" i="1"/>
  <c r="O37" i="1" s="1" a="1"/>
  <c r="O37" i="1" s="1"/>
  <c r="Q37" i="1" s="1" a="1"/>
  <c r="Q37" i="1" s="1"/>
  <c r="I38" i="1"/>
  <c r="O38" i="1" s="1" a="1"/>
  <c r="O38" i="1" s="1"/>
  <c r="Q38" i="1" s="1" a="1"/>
  <c r="Q38" i="1" s="1"/>
  <c r="I39" i="1"/>
  <c r="O39" i="1" s="1" a="1"/>
  <c r="O39" i="1" s="1"/>
  <c r="Q39" i="1" s="1" a="1"/>
  <c r="Q39" i="1" s="1"/>
  <c r="I40" i="1"/>
  <c r="O40" i="1" s="1" a="1"/>
  <c r="O40" i="1" s="1"/>
  <c r="Q40" i="1" s="1" a="1"/>
  <c r="Q40" i="1" s="1"/>
  <c r="I41" i="1"/>
  <c r="O41" i="1" s="1" a="1"/>
  <c r="O41" i="1" s="1"/>
  <c r="Q41" i="1" s="1" a="1"/>
  <c r="Q41" i="1" s="1"/>
  <c r="I42" i="1"/>
  <c r="O42" i="1" s="1" a="1"/>
  <c r="O42" i="1" s="1"/>
  <c r="Q42" i="1" s="1" a="1"/>
  <c r="Q42" i="1" s="1"/>
  <c r="I43" i="1"/>
  <c r="O43" i="1" s="1" a="1"/>
  <c r="O43" i="1" s="1"/>
  <c r="Q43" i="1" s="1" a="1"/>
  <c r="Q43" i="1" s="1"/>
  <c r="I44" i="1"/>
  <c r="O44" i="1" s="1" a="1"/>
  <c r="O44" i="1" s="1"/>
  <c r="Q44" i="1" s="1" a="1"/>
  <c r="Q44" i="1" s="1"/>
  <c r="I45" i="1"/>
  <c r="O45" i="1" s="1" a="1"/>
  <c r="O45" i="1" s="1"/>
  <c r="Q45" i="1" s="1" a="1"/>
  <c r="Q45" i="1" s="1"/>
  <c r="I46" i="1"/>
  <c r="O46" i="1" s="1" a="1"/>
  <c r="O46" i="1" s="1"/>
  <c r="Q46" i="1" s="1" a="1"/>
  <c r="Q46" i="1" s="1"/>
  <c r="I47" i="1"/>
  <c r="O47" i="1" s="1" a="1"/>
  <c r="O47" i="1" s="1"/>
  <c r="Q47" i="1" s="1" a="1"/>
  <c r="Q47" i="1" s="1"/>
  <c r="I48" i="1"/>
  <c r="O48" i="1" s="1" a="1"/>
  <c r="O48" i="1" s="1"/>
  <c r="Q48" i="1" s="1" a="1"/>
  <c r="Q48" i="1" s="1"/>
  <c r="I49" i="1"/>
  <c r="O49" i="1" s="1" a="1"/>
  <c r="O49" i="1" s="1"/>
  <c r="Q49" i="1" s="1" a="1"/>
  <c r="Q49" i="1" s="1"/>
  <c r="I50" i="1"/>
  <c r="O50" i="1" s="1" a="1"/>
  <c r="O50" i="1" s="1"/>
  <c r="Q50" i="1" s="1" a="1"/>
  <c r="Q50" i="1" s="1"/>
  <c r="I51" i="1"/>
  <c r="O51" i="1" s="1" a="1"/>
  <c r="O51" i="1" s="1"/>
  <c r="Q51" i="1" s="1" a="1"/>
  <c r="Q51" i="1" s="1"/>
  <c r="I52" i="1"/>
  <c r="O52" i="1" s="1" a="1"/>
  <c r="O52" i="1" s="1"/>
  <c r="Q52" i="1" s="1" a="1"/>
  <c r="Q52" i="1" s="1"/>
  <c r="I2" i="1"/>
  <c r="O2" i="1" s="1" a="1"/>
  <c r="O2" i="1" s="1"/>
  <c r="D2" i="1"/>
  <c r="R49" i="1" l="1"/>
  <c r="R48" i="1"/>
  <c r="R40" i="1"/>
  <c r="R47" i="1"/>
  <c r="R39" i="1"/>
  <c r="R6" i="1"/>
  <c r="B28" i="2"/>
  <c r="B24" i="2"/>
  <c r="B25" i="2"/>
  <c r="B19" i="2"/>
  <c r="Q13" i="1" a="1"/>
  <c r="Q13" i="1" s="1"/>
  <c r="B29" i="2"/>
  <c r="B20" i="2"/>
  <c r="B2" i="2"/>
  <c r="B3" i="2" s="1"/>
  <c r="B21" i="2"/>
  <c r="B30" i="2"/>
  <c r="B22" i="2"/>
  <c r="B26" i="2"/>
  <c r="B10" i="2"/>
  <c r="B11" i="2" s="1"/>
  <c r="B16" i="2"/>
  <c r="B17" i="2" s="1"/>
  <c r="B6" i="2"/>
  <c r="B7" i="2" s="1"/>
  <c r="B14" i="2"/>
  <c r="B15" i="2" s="1"/>
  <c r="B34" i="2"/>
  <c r="B9" i="2"/>
  <c r="B5" i="2"/>
  <c r="B33" i="2"/>
  <c r="D36" i="1"/>
  <c r="R36" i="1" s="1"/>
  <c r="B1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<sst xmlns="http://schemas.openxmlformats.org/spreadsheetml/2006/main" count="96" uniqueCount="96">
  <si>
    <t>cpi_date</t>
  </si>
  <si>
    <t>actual_cpi</t>
  </si>
  <si>
    <t>forecast_cpi</t>
  </si>
  <si>
    <t>surprise</t>
  </si>
  <si>
    <t>nq_0829</t>
  </si>
  <si>
    <t>nq_0835</t>
  </si>
  <si>
    <t>nq_0845</t>
  </si>
  <si>
    <t>nq_close</t>
  </si>
  <si>
    <t>move_pts_5m</t>
  </si>
  <si>
    <t>move_pct_5m</t>
  </si>
  <si>
    <t>move_pts_15m</t>
  </si>
  <si>
    <t>move_pct_15m</t>
  </si>
  <si>
    <t>move_pts_close</t>
  </si>
  <si>
    <t>move_pct_close</t>
  </si>
  <si>
    <t>initial_direction</t>
  </si>
  <si>
    <t>close_direction</t>
  </si>
  <si>
    <t>direction_match</t>
  </si>
  <si>
    <t>abs_surprise</t>
  </si>
  <si>
    <t>abs_5m_move</t>
  </si>
  <si>
    <t>Initial Direction Match Rate</t>
  </si>
  <si>
    <t>Match Count</t>
  </si>
  <si>
    <t xml:space="preserve">Match Percentage </t>
  </si>
  <si>
    <t>On about 71% of CPI days, the initial 5-minute reaction correctly predicted the end-of-day direction on NASDAQ-100 Index futures</t>
  </si>
  <si>
    <t>Hotter CPI Count</t>
  </si>
  <si>
    <t>Hotter CPI + Red Close</t>
  </si>
  <si>
    <t>When CPI came in hotter than expected, NQ closed down about 76% of the time.</t>
  </si>
  <si>
    <t>Hotter CPI Red Close %</t>
  </si>
  <si>
    <t>Cooler CPI Count</t>
  </si>
  <si>
    <t>Cooler CPI + Green Close</t>
  </si>
  <si>
    <t>When CPI came in cooler than expected, NQ closed green about 67% of the time.</t>
  </si>
  <si>
    <t>Cooler CPI Green Close %</t>
  </si>
  <si>
    <t>Inline CPI Count</t>
  </si>
  <si>
    <t>Inline CPI + Green Close</t>
  </si>
  <si>
    <t>When CPI matched expectations exactly, NQ still closed green most of the time.</t>
  </si>
  <si>
    <t>Inline CPI Green Close %</t>
  </si>
  <si>
    <t>small sample SIZE</t>
  </si>
  <si>
    <t>Inline CPI + Red Close</t>
  </si>
  <si>
    <t>Inline CPI Red Close %</t>
  </si>
  <si>
    <t>Initial UP + Close DOWN</t>
  </si>
  <si>
    <t>Initial DOWN + Close UP</t>
  </si>
  <si>
    <t>About 29% of CPI days reversed direction after the initial reaction.</t>
  </si>
  <si>
    <t>Total Reversals</t>
  </si>
  <si>
    <t>Reversal Percentage</t>
  </si>
  <si>
    <t>Initial UP Count</t>
  </si>
  <si>
    <t>Initial UP + Close UP</t>
  </si>
  <si>
    <t>Initial UP Follow-Through %</t>
  </si>
  <si>
    <t>Bullish initial reactions had strong continuation.</t>
  </si>
  <si>
    <t>Initial DOWN Count</t>
  </si>
  <si>
    <t>Initial DOWN + Close DOWN</t>
  </si>
  <si>
    <t>Initial DOWN Follow-Through %</t>
  </si>
  <si>
    <t>Avg 5m Move % - Hotter CPI</t>
  </si>
  <si>
    <t>Avg 5m Move % - Cooler CPI</t>
  </si>
  <si>
    <t>Avg 5m Move % - Inline CPI</t>
  </si>
  <si>
    <t>Avg Close Move % - Hotter CPI</t>
  </si>
  <si>
    <t>Bearish reaction persisted/slightly worsened</t>
  </si>
  <si>
    <t>Avg Close Move % - Cooler CPI</t>
  </si>
  <si>
    <t>Bullish reaction faded slightly</t>
  </si>
  <si>
    <t>Avg Close Move % - Inline CPI</t>
  </si>
  <si>
    <t>Muted initial reaction but strong bullish drift later</t>
  </si>
  <si>
    <t>Biggest Bullish Close Move</t>
  </si>
  <si>
    <t>Biggest Bearish Close Move</t>
  </si>
  <si>
    <t>Biggest 5m Bullish Reaction</t>
  </si>
  <si>
    <t>CPI releases were capable of producing major directional and volatility shocks in the market.</t>
  </si>
  <si>
    <t>Biggest 5m Bearish Reaction</t>
  </si>
  <si>
    <t>Biggest 15m Bullish Reaction</t>
  </si>
  <si>
    <t>Biggest 15m Bearish Reaction</t>
  </si>
  <si>
    <t>Biggest Reversal Day</t>
  </si>
  <si>
    <t>Correlation: Surprise Size vs 5m Move Size</t>
  </si>
  <si>
    <t>Larger CPI surprises tended to create larger immediate 5-minute moves in NQ futures.</t>
  </si>
  <si>
    <t>Correlation: Surprise Size vs Close Move Size</t>
  </si>
  <si>
    <t>The relationship weakened by the close</t>
  </si>
  <si>
    <t>Correlation: 5m Move vs 15m Move</t>
  </si>
  <si>
    <t>the first 5-minute CPI reaction was extremely predictive of the 15-minute move direction and magnitude.</t>
  </si>
  <si>
    <t>Avg 15m Move % - Hotter CPI</t>
  </si>
  <si>
    <t>Avg 15m Move % - Cooler CPI</t>
  </si>
  <si>
    <t>Avg 15m Move % - Inline CPI</t>
  </si>
  <si>
    <t>CPI reactions showed extremely strong short-term momentum continuation during the first 15 minutes after release.</t>
  </si>
  <si>
    <t>Total Green Close Days</t>
  </si>
  <si>
    <t>Green Close Percentage</t>
  </si>
  <si>
    <t>Total Red Close Days</t>
  </si>
  <si>
    <t>Red Close Percentage</t>
  </si>
  <si>
    <t>CPI Type</t>
  </si>
  <si>
    <t>Avg Close Move %</t>
  </si>
  <si>
    <t>Abs CPI Surprise</t>
  </si>
  <si>
    <t>Abs 5m Move %</t>
  </si>
  <si>
    <t>Outcome Type</t>
  </si>
  <si>
    <t>Percentage</t>
  </si>
  <si>
    <t>5m Move %</t>
  </si>
  <si>
    <t>15m Move %</t>
  </si>
  <si>
    <t>Hotter CPI</t>
  </si>
  <si>
    <t>Follow-Through</t>
  </si>
  <si>
    <t>Cooler CPI</t>
  </si>
  <si>
    <t>Reversal</t>
  </si>
  <si>
    <t>Inline CPI</t>
  </si>
  <si>
    <t xml:space="preserve">Larger CPI surprises generally corresponded with larger immediate NQ reactions, </t>
  </si>
  <si>
    <t>though the relationship remained moderate due to broader market noise and variability in macro sentiment.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</si>
</sst>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0%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242424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10" fontId="0" fillId="0" borderId="0" xfId="0" applyNumberFormat="1"/>
    <xf numFmtId="164" fontId="0" fillId="0" borderId="0" xfId="0" applyNumberFormat="1"/>
    <xf numFmtId="2" fontId="0" fillId="0" borderId="0" xfId="0" applyNumberFormat="1"/>
    <xf numFmtId="0" fontId="3" fillId="0" borderId="0" xfId="0" applyFont="1"/>
    <xf numFmtId="0" fontId="2" fillId="0" borderId="0" xfId="0" applyFont="1" applyFill="1"/>
    <xf numFmtId="0" fontId="1" fillId="0" borderId="0" xfId="0" applyFont="1" applyFill="1"/>
    <xf numFmtId="0" fontId="1" fillId="0" borderId="0" xfId="0" applyFont="1" applyBorder="1"/>
    <xf numFmtId="0" fontId="0" fillId="0" borderId="0" xfId="0" applyBorder="1"/>
    <xf numFmtId="2" fontId="1" fillId="0" borderId="0" xfId="0" applyNumberFormat="1" applyFont="1" applyFill="1"/>
    <xf numFmtId="10" fontId="1" fillId="0" borderId="0" xfId="0" applyNumberFormat="1" applyFont="1" applyFill="1"/>
    <xf numFmtId="0" fontId="0" fillId="0" borderId="0" xfId="0" applyFill="1"/>
    <xf numFmtId="14" fontId="0" fillId="0" borderId="0" xfId="0" applyNumberFormat="1" applyFill="1"/>
    <xf numFmtId="43" fontId="0" fillId="0" borderId="0" xfId="0" applyNumberFormat="1" applyFill="1"/>
    <xf numFmtId="2" fontId="0" fillId="0" borderId="0" xfId="0" applyNumberFormat="1" applyFill="1"/>
    <xf numFmtId="10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FF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NQ Close Move by CPI Outcome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Charts!$B$1</c:f>
              <c:strCache>
                <c:ptCount val="1"/>
                <c:pt idx="0">
                  <c:v>Avg Close Move %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F6C-47D5-BE9A-6E57D5E2A33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Charts!$A$2:$A$4</c:f>
              <c:strCache>
                <c:ptCount val="3"/>
                <c:pt idx="0">
                  <c:v>Hotter CPI</c:v>
                </c:pt>
                <c:pt idx="1">
                  <c:v>Cooler CPI</c:v>
                </c:pt>
                <c:pt idx="2">
                  <c:v>Inline CPI</c:v>
                </c:pt>
              </c:strCache>
            </c:strRef>
          </c:cat>
          <c:val>
            <c:numRef>
              <c:f>Charts!$B$2:$B$4</c:f>
              <c:numCache>
                <c:formatCode>0.00%</c:formatCode>
                <c:ptCount val="3"/>
                <c:pt idx="0">
                  <c:v>-9.1000000000000004E-3</c:v>
                </c:pt>
                <c:pt idx="1">
                  <c:v>4.4000000000000003E-3</c:v>
                </c:pt>
                <c:pt idx="2">
                  <c:v>7.4000000000000003E-3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A5-4A8A-BC5A-1AD5222A92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22992648"/>
        <c:axId val="1522994696"/>
      </c:barChart>
      <c:catAx>
        <c:axId val="1522992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994696"/>
        <c:crosses val="autoZero"/>
        <c:auto val="1"/>
        <c:lblAlgn val="ctr"/>
        <c:lblOffset val="100"/>
        <c:noMultiLvlLbl val="0"/>
      </c:catAx>
      <c:valAx>
        <c:axId val="1522994696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992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CPI Surprise Size vs 5-Minute NQ Move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Charts!$M$1</c:f>
              <c:strCache>
                <c:ptCount val="1"/>
                <c:pt idx="0">
                  <c:v>Abs 5m Move %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305496"/>
                </a:solidFill>
                <a:prstDash val="solid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1.0593853187706375E-2"/>
                  <c:y val="-4.718967720657954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Charts!$L$2:$L$52</c:f>
              <c:numCache>
                <c:formatCode>General</c:formatCode>
                <c:ptCount val="51"/>
                <c:pt idx="0">
                  <c:v>0.10000000000000009</c:v>
                </c:pt>
                <c:pt idx="1">
                  <c:v>0</c:v>
                </c:pt>
                <c:pt idx="2">
                  <c:v>0.10000000000000009</c:v>
                </c:pt>
                <c:pt idx="3">
                  <c:v>0</c:v>
                </c:pt>
                <c:pt idx="4">
                  <c:v>0.39999999999999991</c:v>
                </c:pt>
                <c:pt idx="5">
                  <c:v>0.10000000000000009</c:v>
                </c:pt>
                <c:pt idx="6">
                  <c:v>0</c:v>
                </c:pt>
                <c:pt idx="7">
                  <c:v>9.9999999999999645E-2</c:v>
                </c:pt>
                <c:pt idx="8">
                  <c:v>0.10000000000000009</c:v>
                </c:pt>
                <c:pt idx="9">
                  <c:v>0.10000000000000009</c:v>
                </c:pt>
                <c:pt idx="10">
                  <c:v>0.10000000000000009</c:v>
                </c:pt>
                <c:pt idx="11">
                  <c:v>0.10000000000000009</c:v>
                </c:pt>
                <c:pt idx="12">
                  <c:v>0.10000000000000009</c:v>
                </c:pt>
                <c:pt idx="13">
                  <c:v>0.10000000000000009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0.10000000000000009</c:v>
                </c:pt>
                <c:pt idx="18">
                  <c:v>0</c:v>
                </c:pt>
                <c:pt idx="19">
                  <c:v>0.10000000000000009</c:v>
                </c:pt>
                <c:pt idx="20">
                  <c:v>0.10000000000000009</c:v>
                </c:pt>
                <c:pt idx="21">
                  <c:v>0.10000000000000009</c:v>
                </c:pt>
                <c:pt idx="22">
                  <c:v>0</c:v>
                </c:pt>
                <c:pt idx="23">
                  <c:v>0.10000000000000009</c:v>
                </c:pt>
                <c:pt idx="24">
                  <c:v>0.10000000000000009</c:v>
                </c:pt>
                <c:pt idx="25">
                  <c:v>0.20000000000000018</c:v>
                </c:pt>
                <c:pt idx="26">
                  <c:v>0.19999999999999973</c:v>
                </c:pt>
                <c:pt idx="27">
                  <c:v>0</c:v>
                </c:pt>
                <c:pt idx="28">
                  <c:v>9.9999999999999645E-2</c:v>
                </c:pt>
                <c:pt idx="29">
                  <c:v>0.10000000000000009</c:v>
                </c:pt>
                <c:pt idx="30">
                  <c:v>0.10000000000000009</c:v>
                </c:pt>
                <c:pt idx="31">
                  <c:v>9.9999999999999645E-2</c:v>
                </c:pt>
                <c:pt idx="32">
                  <c:v>0.10000000000000009</c:v>
                </c:pt>
                <c:pt idx="33">
                  <c:v>9.9999999999999645E-2</c:v>
                </c:pt>
                <c:pt idx="34">
                  <c:v>9.9999999999999645E-2</c:v>
                </c:pt>
                <c:pt idx="35">
                  <c:v>9.9999999999999645E-2</c:v>
                </c:pt>
                <c:pt idx="36">
                  <c:v>0</c:v>
                </c:pt>
                <c:pt idx="37">
                  <c:v>0.20000000000000018</c:v>
                </c:pt>
                <c:pt idx="38">
                  <c:v>0</c:v>
                </c:pt>
                <c:pt idx="39">
                  <c:v>0.20000000000000018</c:v>
                </c:pt>
                <c:pt idx="40">
                  <c:v>0.20000000000000018</c:v>
                </c:pt>
                <c:pt idx="41">
                  <c:v>9.9999999999999645E-2</c:v>
                </c:pt>
                <c:pt idx="42">
                  <c:v>0.20000000000000107</c:v>
                </c:pt>
                <c:pt idx="43">
                  <c:v>0.19999999999999929</c:v>
                </c:pt>
                <c:pt idx="44">
                  <c:v>0.40000000000000036</c:v>
                </c:pt>
                <c:pt idx="45">
                  <c:v>0.29999999999999893</c:v>
                </c:pt>
                <c:pt idx="46">
                  <c:v>0.20000000000000107</c:v>
                </c:pt>
                <c:pt idx="47">
                  <c:v>9.9999999999999645E-2</c:v>
                </c:pt>
                <c:pt idx="48">
                  <c:v>0</c:v>
                </c:pt>
                <c:pt idx="49">
                  <c:v>0.29999999999999982</c:v>
                </c:pt>
                <c:pt idx="50">
                  <c:v>0</c:v>
                </c:pt>
              </c:numCache>
            </c:numRef>
          </c:xVal>
          <c:yVal>
            <c:numRef>
              <c:f>Charts!$M$2:$M$52</c:f>
              <c:numCache>
                <c:formatCode>0.00%</c:formatCode>
                <c:ptCount val="51"/>
                <c:pt idx="0">
                  <c:v>1.3123489071981845E-3</c:v>
                </c:pt>
                <c:pt idx="1">
                  <c:v>1.9333346552715591E-3</c:v>
                </c:pt>
                <c:pt idx="2">
                  <c:v>2.3473471967257516E-3</c:v>
                </c:pt>
                <c:pt idx="3">
                  <c:v>4.3345549187151344E-3</c:v>
                </c:pt>
                <c:pt idx="4">
                  <c:v>1.8752652513348927E-3</c:v>
                </c:pt>
                <c:pt idx="5">
                  <c:v>4.5969669695825957E-3</c:v>
                </c:pt>
                <c:pt idx="6">
                  <c:v>1.5818613234906407E-3</c:v>
                </c:pt>
                <c:pt idx="7">
                  <c:v>4.6461061937826276E-3</c:v>
                </c:pt>
                <c:pt idx="8">
                  <c:v>1.5299172168081316E-3</c:v>
                </c:pt>
                <c:pt idx="9">
                  <c:v>4.7640901243471232E-3</c:v>
                </c:pt>
                <c:pt idx="10">
                  <c:v>1.654439031069224E-3</c:v>
                </c:pt>
                <c:pt idx="11">
                  <c:v>3.7821291236591783E-3</c:v>
                </c:pt>
                <c:pt idx="12">
                  <c:v>4.970023040640795E-3</c:v>
                </c:pt>
                <c:pt idx="13">
                  <c:v>1.0226418793086549E-2</c:v>
                </c:pt>
                <c:pt idx="14">
                  <c:v>1.3153434131127534E-2</c:v>
                </c:pt>
                <c:pt idx="15">
                  <c:v>2.0750060065963349E-3</c:v>
                </c:pt>
                <c:pt idx="16">
                  <c:v>2.7022836511839104E-3</c:v>
                </c:pt>
                <c:pt idx="17">
                  <c:v>2.0690680048926027E-3</c:v>
                </c:pt>
                <c:pt idx="18">
                  <c:v>3.6317104381207725E-3</c:v>
                </c:pt>
                <c:pt idx="19">
                  <c:v>5.0686861146895584E-3</c:v>
                </c:pt>
                <c:pt idx="20">
                  <c:v>3.4478553452844205E-3</c:v>
                </c:pt>
                <c:pt idx="21">
                  <c:v>7.0052126329693135E-3</c:v>
                </c:pt>
                <c:pt idx="22">
                  <c:v>5.3990235023551551E-3</c:v>
                </c:pt>
                <c:pt idx="23">
                  <c:v>1.36642601498026E-2</c:v>
                </c:pt>
                <c:pt idx="24">
                  <c:v>1.4719342948321501E-3</c:v>
                </c:pt>
                <c:pt idx="25">
                  <c:v>7.634923213415472E-3</c:v>
                </c:pt>
                <c:pt idx="26">
                  <c:v>4.0124019697246032E-3</c:v>
                </c:pt>
                <c:pt idx="27">
                  <c:v>2.1807770523386491E-3</c:v>
                </c:pt>
                <c:pt idx="28">
                  <c:v>1.0712149246671581E-2</c:v>
                </c:pt>
                <c:pt idx="29">
                  <c:v>3.0160199758718404E-3</c:v>
                </c:pt>
                <c:pt idx="30">
                  <c:v>1.7070815901045237E-3</c:v>
                </c:pt>
                <c:pt idx="31">
                  <c:v>3.4985096348955346E-4</c:v>
                </c:pt>
                <c:pt idx="32">
                  <c:v>5.4643281391936272E-3</c:v>
                </c:pt>
                <c:pt idx="33">
                  <c:v>6.2437030835379092E-4</c:v>
                </c:pt>
                <c:pt idx="34">
                  <c:v>3.4170164297639295E-3</c:v>
                </c:pt>
                <c:pt idx="35">
                  <c:v>1.1191729501588657E-2</c:v>
                </c:pt>
                <c:pt idx="36">
                  <c:v>1.508725462256718E-3</c:v>
                </c:pt>
                <c:pt idx="37">
                  <c:v>2.3115594135428284E-3</c:v>
                </c:pt>
                <c:pt idx="38">
                  <c:v>5.0949838046047448E-3</c:v>
                </c:pt>
                <c:pt idx="39">
                  <c:v>3.1337511668222428E-3</c:v>
                </c:pt>
                <c:pt idx="40">
                  <c:v>2.2473933478597542E-2</c:v>
                </c:pt>
                <c:pt idx="41">
                  <c:v>2.8217777379137141E-2</c:v>
                </c:pt>
                <c:pt idx="42">
                  <c:v>2.0688464375971244E-2</c:v>
                </c:pt>
                <c:pt idx="43">
                  <c:v>1.4633844822524068E-2</c:v>
                </c:pt>
                <c:pt idx="44">
                  <c:v>2.5986140724946694E-2</c:v>
                </c:pt>
                <c:pt idx="45">
                  <c:v>1.5434750887660305E-2</c:v>
                </c:pt>
                <c:pt idx="46">
                  <c:v>1.0415663617396886E-2</c:v>
                </c:pt>
                <c:pt idx="47">
                  <c:v>9.0466756016549157E-3</c:v>
                </c:pt>
                <c:pt idx="48">
                  <c:v>3.871490523851683E-3</c:v>
                </c:pt>
                <c:pt idx="49">
                  <c:v>1.0113396806150709E-2</c:v>
                </c:pt>
                <c:pt idx="50">
                  <c:v>5.3947368421052629E-4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0C-45FA-B505-9839E28E08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5954311"/>
        <c:axId val="225960455"/>
      </c:scatterChart>
      <c:valAx>
        <c:axId val="225954311"/>
        <c:scaling>
          <c:orientation val="minMax"/>
          <c:max val="0.4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Absolute CPI Surprise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5960455"/>
        <c:crosses val="autoZero"/>
        <c:crossBetween val="midCat"/>
        <c:majorUnit val="0.1"/>
      </c:valAx>
      <c:valAx>
        <c:axId val="22596045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Absolute 5-Minute NQ Move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59543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CPI Follow-Through vs Reversal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Charts!$AB$1</c:f>
              <c:strCache>
                <c:ptCount val="1"/>
                <c:pt idx="0">
                  <c:v>Percentage</c:v>
                </c:pt>
              </c:strCache>
            </c:strRef>
          </c:tx>
          <c:dPt>
            <c:idx val="0"/>
            <c:bubble3D val="0"/>
            <c:spPr>
              <a:solidFill>
                <a:srgbClr val="54823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B9C-49C9-90B2-492079E5FE0F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B9C-49C9-90B2-492079E5FE0F}"/>
              </c:ext>
            </c:extLst>
          </c:dPt>
          <c:dLbls>
            <c:dLbl>
              <c:idx val="0"/>
              <c:layout>
                <c:manualLayout>
                  <c:x val="0.11892675852066716"/>
                  <c:y val="6.074411541381817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-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B9C-49C9-90B2-492079E5FE0F}"/>
                </c:ext>
              </c:extLst>
            </c:dLbl>
            <c:dLbl>
              <c:idx val="1"/>
              <c:layout>
                <c:manualLayout>
                  <c:x val="-7.5579816482330628E-2"/>
                  <c:y val="-7.28929384965831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-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B9C-49C9-90B2-492079E5FE0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-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Charts!$AA$2:$AA$3</c:f>
              <c:strCache>
                <c:ptCount val="2"/>
                <c:pt idx="0">
                  <c:v>Follow-Through</c:v>
                </c:pt>
                <c:pt idx="1">
                  <c:v>Reversal</c:v>
                </c:pt>
              </c:strCache>
            </c:strRef>
          </c:cat>
          <c:val>
            <c:numRef>
              <c:f>Charts!$AB$2:$AB$3</c:f>
              <c:numCache>
                <c:formatCode>0.00%</c:formatCode>
                <c:ptCount val="2"/>
                <c:pt idx="0">
                  <c:v>0.70589999999999997</c:v>
                </c:pt>
                <c:pt idx="1">
                  <c:v>0.29409999999999997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7C-4460-B846-A75FC929D4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66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Relationship Between 5-Minute and 15-Minute CPI Reactions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Charts!$AQ$1</c:f>
              <c:strCache>
                <c:ptCount val="1"/>
                <c:pt idx="0">
                  <c:v>15m Move %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4472C4"/>
              </a:solidFill>
              <a:ln w="9525">
                <a:solidFill>
                  <a:srgbClr val="4472C4"/>
                </a:solidFill>
                <a:prstDash val="solid"/>
              </a:ln>
              <a:effectLst/>
            </c:spPr>
          </c:marker>
          <c:trendline>
            <c:spPr>
              <a:ln w="19050" cap="rnd">
                <a:solidFill>
                  <a:srgbClr val="4472C4"/>
                </a:solidFill>
                <a:prstDash val="solid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1.5338365071443183E-2"/>
                  <c:y val="-2.857901034429519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Charts!$AP$2:$AP$52</c:f>
              <c:numCache>
                <c:formatCode>0.00%</c:formatCode>
                <c:ptCount val="51"/>
                <c:pt idx="0">
                  <c:v>-1.3123489071981845E-3</c:v>
                </c:pt>
                <c:pt idx="1">
                  <c:v>-1.9333346552715591E-3</c:v>
                </c:pt>
                <c:pt idx="2">
                  <c:v>2.3473471967257516E-3</c:v>
                </c:pt>
                <c:pt idx="3">
                  <c:v>4.3345549187151344E-3</c:v>
                </c:pt>
                <c:pt idx="4">
                  <c:v>1.8752652513348927E-3</c:v>
                </c:pt>
                <c:pt idx="5">
                  <c:v>4.5969669695825957E-3</c:v>
                </c:pt>
                <c:pt idx="6">
                  <c:v>-1.5818613234906407E-3</c:v>
                </c:pt>
                <c:pt idx="7">
                  <c:v>4.6461061937826276E-3</c:v>
                </c:pt>
                <c:pt idx="8">
                  <c:v>1.5299172168081316E-3</c:v>
                </c:pt>
                <c:pt idx="9">
                  <c:v>4.7640901243471232E-3</c:v>
                </c:pt>
                <c:pt idx="10">
                  <c:v>1.654439031069224E-3</c:v>
                </c:pt>
                <c:pt idx="11">
                  <c:v>3.7821291236591783E-3</c:v>
                </c:pt>
                <c:pt idx="12">
                  <c:v>4.970023040640795E-3</c:v>
                </c:pt>
                <c:pt idx="13">
                  <c:v>-1.0226418793086549E-2</c:v>
                </c:pt>
                <c:pt idx="14">
                  <c:v>1.3153434131127534E-2</c:v>
                </c:pt>
                <c:pt idx="15">
                  <c:v>2.0750060065963349E-3</c:v>
                </c:pt>
                <c:pt idx="16">
                  <c:v>2.7022836511839104E-3</c:v>
                </c:pt>
                <c:pt idx="17">
                  <c:v>-2.0690680048926027E-3</c:v>
                </c:pt>
                <c:pt idx="18">
                  <c:v>-3.6317104381207725E-3</c:v>
                </c:pt>
                <c:pt idx="19">
                  <c:v>-5.0686861146895584E-3</c:v>
                </c:pt>
                <c:pt idx="20">
                  <c:v>3.4478553452844205E-3</c:v>
                </c:pt>
                <c:pt idx="21">
                  <c:v>7.0052126329693135E-3</c:v>
                </c:pt>
                <c:pt idx="22">
                  <c:v>5.3990235023551551E-3</c:v>
                </c:pt>
                <c:pt idx="23">
                  <c:v>-1.36642601498026E-2</c:v>
                </c:pt>
                <c:pt idx="24">
                  <c:v>1.4719342948321501E-3</c:v>
                </c:pt>
                <c:pt idx="25">
                  <c:v>-7.634923213415472E-3</c:v>
                </c:pt>
                <c:pt idx="26">
                  <c:v>-4.0124019697246032E-3</c:v>
                </c:pt>
                <c:pt idx="27">
                  <c:v>-2.1807770523386491E-3</c:v>
                </c:pt>
                <c:pt idx="28">
                  <c:v>1.0712149246671581E-2</c:v>
                </c:pt>
                <c:pt idx="29">
                  <c:v>-3.0160199758718404E-3</c:v>
                </c:pt>
                <c:pt idx="30">
                  <c:v>-1.7070815901045237E-3</c:v>
                </c:pt>
                <c:pt idx="31">
                  <c:v>3.4985096348955346E-4</c:v>
                </c:pt>
                <c:pt idx="32">
                  <c:v>5.4643281391936272E-3</c:v>
                </c:pt>
                <c:pt idx="33">
                  <c:v>6.2437030835379092E-4</c:v>
                </c:pt>
                <c:pt idx="34">
                  <c:v>3.4170164297639295E-3</c:v>
                </c:pt>
                <c:pt idx="35">
                  <c:v>1.1191729501588657E-2</c:v>
                </c:pt>
                <c:pt idx="36">
                  <c:v>-1.508725462256718E-3</c:v>
                </c:pt>
                <c:pt idx="37">
                  <c:v>2.3115594135428284E-3</c:v>
                </c:pt>
                <c:pt idx="38">
                  <c:v>5.0949838046047448E-3</c:v>
                </c:pt>
                <c:pt idx="39">
                  <c:v>3.1337511668222428E-3</c:v>
                </c:pt>
                <c:pt idx="40">
                  <c:v>2.2473933478597542E-2</c:v>
                </c:pt>
                <c:pt idx="41">
                  <c:v>-2.8217777379137141E-2</c:v>
                </c:pt>
                <c:pt idx="42">
                  <c:v>-2.0688464375971244E-2</c:v>
                </c:pt>
                <c:pt idx="43">
                  <c:v>1.4633844822524068E-2</c:v>
                </c:pt>
                <c:pt idx="44">
                  <c:v>-2.5986140724946694E-2</c:v>
                </c:pt>
                <c:pt idx="45">
                  <c:v>-1.5434750887660305E-2</c:v>
                </c:pt>
                <c:pt idx="46">
                  <c:v>-1.0415663617396886E-2</c:v>
                </c:pt>
                <c:pt idx="47">
                  <c:v>9.0466756016549157E-3</c:v>
                </c:pt>
                <c:pt idx="48">
                  <c:v>3.871490523851683E-3</c:v>
                </c:pt>
                <c:pt idx="49">
                  <c:v>-1.0113396806150709E-2</c:v>
                </c:pt>
                <c:pt idx="50">
                  <c:v>5.3947368421052629E-4</c:v>
                </c:pt>
              </c:numCache>
            </c:numRef>
          </c:xVal>
          <c:yVal>
            <c:numRef>
              <c:f>Charts!$AQ$2:$AQ$52</c:f>
              <c:numCache>
                <c:formatCode>0.00%</c:formatCode>
                <c:ptCount val="51"/>
                <c:pt idx="0">
                  <c:v>-9.3739207657013175E-4</c:v>
                </c:pt>
                <c:pt idx="1">
                  <c:v>-3.0933354484344948E-3</c:v>
                </c:pt>
                <c:pt idx="2">
                  <c:v>2.1366878329170304E-3</c:v>
                </c:pt>
                <c:pt idx="3">
                  <c:v>2.8418605096211811E-3</c:v>
                </c:pt>
                <c:pt idx="4">
                  <c:v>5.0632161786042101E-3</c:v>
                </c:pt>
                <c:pt idx="5">
                  <c:v>4.4130882907992917E-3</c:v>
                </c:pt>
                <c:pt idx="6">
                  <c:v>-8.6191161856861835E-4</c:v>
                </c:pt>
                <c:pt idx="7">
                  <c:v>4.6768751089732415E-3</c:v>
                </c:pt>
                <c:pt idx="8">
                  <c:v>7.2304306821754168E-4</c:v>
                </c:pt>
                <c:pt idx="9">
                  <c:v>4.1194082038506089E-3</c:v>
                </c:pt>
                <c:pt idx="10">
                  <c:v>-1.1409924352201545E-4</c:v>
                </c:pt>
                <c:pt idx="11">
                  <c:v>-2.2515685083991095E-3</c:v>
                </c:pt>
                <c:pt idx="12">
                  <c:v>2.9916643545604788E-3</c:v>
                </c:pt>
                <c:pt idx="13">
                  <c:v>-1.1990721076877838E-2</c:v>
                </c:pt>
                <c:pt idx="14">
                  <c:v>1.3345537550568401E-2</c:v>
                </c:pt>
                <c:pt idx="15">
                  <c:v>2.7630343140466985E-3</c:v>
                </c:pt>
                <c:pt idx="16">
                  <c:v>3.7765521518594814E-3</c:v>
                </c:pt>
                <c:pt idx="17">
                  <c:v>-4.2295865293384702E-3</c:v>
                </c:pt>
                <c:pt idx="18">
                  <c:v>-3.5707756992261288E-3</c:v>
                </c:pt>
                <c:pt idx="19">
                  <c:v>1.9985793231317496E-3</c:v>
                </c:pt>
                <c:pt idx="20">
                  <c:v>2.5720335694726223E-3</c:v>
                </c:pt>
                <c:pt idx="21">
                  <c:v>5.6843644597495109E-3</c:v>
                </c:pt>
                <c:pt idx="22">
                  <c:v>3.960103798993986E-3</c:v>
                </c:pt>
                <c:pt idx="23">
                  <c:v>-1.6259362662501383E-2</c:v>
                </c:pt>
                <c:pt idx="24">
                  <c:v>3.2530984835366004E-3</c:v>
                </c:pt>
                <c:pt idx="25">
                  <c:v>-8.0972671723293383E-3</c:v>
                </c:pt>
                <c:pt idx="26">
                  <c:v>-4.7028477632161747E-3</c:v>
                </c:pt>
                <c:pt idx="27">
                  <c:v>-1.1653109279674622E-2</c:v>
                </c:pt>
                <c:pt idx="28">
                  <c:v>1.1115593828689083E-2</c:v>
                </c:pt>
                <c:pt idx="29">
                  <c:v>-2.8897679768818563E-3</c:v>
                </c:pt>
                <c:pt idx="30">
                  <c:v>-1.4272321491037821E-3</c:v>
                </c:pt>
                <c:pt idx="31">
                  <c:v>-1.0215648133894961E-3</c:v>
                </c:pt>
                <c:pt idx="32">
                  <c:v>4.8773670603032629E-3</c:v>
                </c:pt>
                <c:pt idx="33">
                  <c:v>3.3063245874189384E-3</c:v>
                </c:pt>
                <c:pt idx="34">
                  <c:v>7.2865144872134935E-3</c:v>
                </c:pt>
                <c:pt idx="35">
                  <c:v>9.1051358656992452E-3</c:v>
                </c:pt>
                <c:pt idx="36">
                  <c:v>3.1850870869864047E-4</c:v>
                </c:pt>
                <c:pt idx="37">
                  <c:v>-3.6209042561789759E-3</c:v>
                </c:pt>
                <c:pt idx="38">
                  <c:v>1.5757681869911582E-3</c:v>
                </c:pt>
                <c:pt idx="39">
                  <c:v>1.1051473529803974E-2</c:v>
                </c:pt>
                <c:pt idx="40">
                  <c:v>2.7444130305595074E-2</c:v>
                </c:pt>
                <c:pt idx="41">
                  <c:v>-2.872006457978294E-2</c:v>
                </c:pt>
                <c:pt idx="42">
                  <c:v>-2.4769648547255402E-2</c:v>
                </c:pt>
                <c:pt idx="43">
                  <c:v>1.5514657024090986E-2</c:v>
                </c:pt>
                <c:pt idx="44">
                  <c:v>-2.706889658848614E-2</c:v>
                </c:pt>
                <c:pt idx="45">
                  <c:v>-1.3067656738922486E-2</c:v>
                </c:pt>
                <c:pt idx="46">
                  <c:v>-1.555127587867116E-2</c:v>
                </c:pt>
                <c:pt idx="47">
                  <c:v>1.0751121729502943E-2</c:v>
                </c:pt>
                <c:pt idx="48">
                  <c:v>9.903812967992677E-4</c:v>
                </c:pt>
                <c:pt idx="49">
                  <c:v>-1.0168510685203301E-2</c:v>
                </c:pt>
                <c:pt idx="50">
                  <c:v>4.0526315789473685E-3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45-40F5-B55D-E7DEC210D2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8902536"/>
        <c:axId val="1258904584"/>
      </c:scatterChart>
      <c:valAx>
        <c:axId val="1258902536"/>
        <c:scaling>
          <c:orientation val="minMax"/>
          <c:min val="-0.03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5-Minute NQ Move (%)</a:t>
                </a:r>
              </a:p>
            </c:rich>
          </c:tx>
          <c:layout>
            <c:manualLayout>
              <c:xMode val="edge"/>
              <c:yMode val="edge"/>
              <c:x val="0.50583509743769262"/>
              <c:y val="0.9616033657557511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8904584"/>
        <c:crosses val="autoZero"/>
        <c:crossBetween val="midCat"/>
      </c:valAx>
      <c:valAx>
        <c:axId val="1258904584"/>
        <c:scaling>
          <c:orientation val="minMax"/>
          <c:max val="0.03"/>
          <c:min val="-0.03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15-Minute NQ Move (%)</a:t>
                </a:r>
              </a:p>
            </c:rich>
          </c:tx>
          <c:layout>
            <c:manualLayout>
              <c:xMode val="edge"/>
              <c:yMode val="edge"/>
              <c:x val="0"/>
              <c:y val="0.3866543152694149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89025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180975</xdr:rowOff>
    </xdr:from>
    <xdr:to>
      <xdr:col>5</xdr:col>
      <xdr:colOff>752475</xdr:colOff>
      <xdr:row>16</xdr:row>
      <xdr:rowOff>85725</xdr:rowOff>
    </xdr:to>
    <xdr:graphicFrame macro="">
      <xdr:nvGraphicFramePr>
        <xdr:cNvPr id="27" name="Chart 1">
          <a:extLst>
            <a:ext uri="{FF2B5EF4-FFF2-40B4-BE49-F238E27FC236}">
              <a16:creationId xmlns:a16="http://schemas.microsoft.com/office/drawing/2014/main" id="{8776FE6C-EA2D-E671-9D7E-54A0AB8B86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85725</xdr:colOff>
      <xdr:row>0</xdr:row>
      <xdr:rowOff>142875</xdr:rowOff>
    </xdr:from>
    <xdr:to>
      <xdr:col>20</xdr:col>
      <xdr:colOff>28575</xdr:colOff>
      <xdr:row>18</xdr:row>
      <xdr:rowOff>9525</xdr:rowOff>
    </xdr:to>
    <xdr:graphicFrame macro="">
      <xdr:nvGraphicFramePr>
        <xdr:cNvPr id="64" name="Chart 2">
          <a:extLst>
            <a:ext uri="{FF2B5EF4-FFF2-40B4-BE49-F238E27FC236}">
              <a16:creationId xmlns:a16="http://schemas.microsoft.com/office/drawing/2014/main" id="{1255181A-D6AB-61D3-879E-C2815F3435B6}"/>
            </a:ext>
            <a:ext uri="{147F2762-F138-4A5C-976F-8EAC2B608ADB}">
              <a16:predDERef xmlns:a16="http://schemas.microsoft.com/office/drawing/2014/main" pred="{8776FE6C-EA2D-E671-9D7E-54A0AB8B86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752475</xdr:colOff>
      <xdr:row>3</xdr:row>
      <xdr:rowOff>171450</xdr:rowOff>
    </xdr:from>
    <xdr:to>
      <xdr:col>31</xdr:col>
      <xdr:colOff>523875</xdr:colOff>
      <xdr:row>20</xdr:row>
      <xdr:rowOff>0</xdr:rowOff>
    </xdr:to>
    <xdr:graphicFrame macro="">
      <xdr:nvGraphicFramePr>
        <xdr:cNvPr id="91" name="Chart 3">
          <a:extLst>
            <a:ext uri="{FF2B5EF4-FFF2-40B4-BE49-F238E27FC236}">
              <a16:creationId xmlns:a16="http://schemas.microsoft.com/office/drawing/2014/main" id="{B54DA398-8CD8-C8C9-56DC-1D119AB07E72}"/>
            </a:ext>
            <a:ext uri="{147F2762-F138-4A5C-976F-8EAC2B608ADB}">
              <a16:predDERef xmlns:a16="http://schemas.microsoft.com/office/drawing/2014/main" pred="{1255181A-D6AB-61D3-879E-C2815F3435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43</xdr:col>
      <xdr:colOff>200025</xdr:colOff>
      <xdr:row>0</xdr:row>
      <xdr:rowOff>0</xdr:rowOff>
    </xdr:from>
    <xdr:to>
      <xdr:col>49</xdr:col>
      <xdr:colOff>752475</xdr:colOff>
      <xdr:row>15</xdr:row>
      <xdr:rowOff>9525</xdr:rowOff>
    </xdr:to>
    <xdr:graphicFrame macro="">
      <xdr:nvGraphicFramePr>
        <xdr:cNvPr id="130" name="Chart 5">
          <a:extLst>
            <a:ext uri="{FF2B5EF4-FFF2-40B4-BE49-F238E27FC236}">
              <a16:creationId xmlns:a16="http://schemas.microsoft.com/office/drawing/2014/main" id="{38ACBCAA-3033-1014-326E-0F624EB087FC}"/>
            </a:ext>
            <a:ext uri="{147F2762-F138-4A5C-976F-8EAC2B608ADB}">
              <a16:predDERef xmlns:a16="http://schemas.microsoft.com/office/drawing/2014/main" pred="{B54DA398-8CD8-C8C9-56DC-1D119AB07E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4"/>
  <sheetViews>
    <sheetView tabSelected="1" workbookViewId="0">
      <selection activeCell="I17" sqref="I17"/>
    </sheetView>
  </sheetViews>
  <sheetFormatPr defaultColWidth="8.85546875" defaultRowHeight="15"/>
  <cols>
    <col min="1" max="1" width="11.42578125" style="12" bestFit="1" customWidth="1"/>
    <col min="2" max="2" width="10.28515625" style="12" bestFit="1" customWidth="1"/>
    <col min="3" max="3" width="12" style="12" bestFit="1" customWidth="1"/>
    <col min="4" max="4" width="8.28515625" style="12" bestFit="1" customWidth="1"/>
    <col min="5" max="8" width="10.85546875" style="12" bestFit="1" customWidth="1"/>
    <col min="9" max="9" width="14" style="15" bestFit="1" customWidth="1"/>
    <col min="10" max="10" width="14" style="16" bestFit="1" customWidth="1"/>
    <col min="11" max="11" width="15" style="15" bestFit="1" customWidth="1"/>
    <col min="12" max="12" width="15.140625" style="16" bestFit="1" customWidth="1"/>
    <col min="13" max="13" width="15.7109375" style="15" bestFit="1" customWidth="1"/>
    <col min="14" max="14" width="15.7109375" style="16" bestFit="1" customWidth="1"/>
    <col min="15" max="15" width="15.42578125" style="12" bestFit="1" customWidth="1"/>
    <col min="16" max="16" width="14.85546875" style="12" bestFit="1" customWidth="1"/>
    <col min="17" max="17" width="15.85546875" style="12" bestFit="1" customWidth="1"/>
    <col min="18" max="18" width="12.42578125" style="12" bestFit="1" customWidth="1"/>
    <col min="19" max="19" width="14.28515625" style="16" bestFit="1" customWidth="1"/>
    <col min="20" max="20" width="15.28515625" style="12" bestFit="1" customWidth="1"/>
    <col min="21" max="16384" width="8.85546875" style="12"/>
  </cols>
  <sheetData>
    <row r="1" spans="1:19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10" t="s">
        <v>8</v>
      </c>
      <c r="J1" s="11" t="s">
        <v>9</v>
      </c>
      <c r="K1" s="10" t="s">
        <v>10</v>
      </c>
      <c r="L1" s="11" t="s">
        <v>11</v>
      </c>
      <c r="M1" s="10" t="s">
        <v>12</v>
      </c>
      <c r="N1" s="11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11" t="s">
        <v>18</v>
      </c>
    </row>
    <row r="2" spans="1:19">
      <c r="A2" s="13">
        <v>46122</v>
      </c>
      <c r="B2" s="12">
        <v>3.3</v>
      </c>
      <c r="C2" s="12">
        <v>3.4</v>
      </c>
      <c r="D2" s="12">
        <f>B2-C2</f>
        <v>-0.10000000000000009</v>
      </c>
      <c r="E2" s="14">
        <v>25336.25</v>
      </c>
      <c r="F2" s="14">
        <v>25303</v>
      </c>
      <c r="G2" s="14">
        <v>25312.5</v>
      </c>
      <c r="H2" s="14">
        <v>25284.25</v>
      </c>
      <c r="I2" s="15">
        <f>F2-E2</f>
        <v>-33.25</v>
      </c>
      <c r="J2" s="16">
        <f>(F2-E2)/E2</f>
        <v>-1.3123489071981845E-3</v>
      </c>
      <c r="K2" s="15">
        <f>G2-E2</f>
        <v>-23.75</v>
      </c>
      <c r="L2" s="16">
        <f>(G2-E2)/E2</f>
        <v>-9.3739207657013175E-4</v>
      </c>
      <c r="M2" s="15">
        <f>H2-E2</f>
        <v>-52</v>
      </c>
      <c r="N2" s="16">
        <f>(H2-E2)/E2</f>
        <v>-2.0523952834377622E-3</v>
      </c>
      <c r="O2" s="12" t="str" cm="1">
        <f t="array" ref="O2">_xlfn.IFS(I2&gt;0,"UP",I2&lt;0,"DOWN",I2=0,"FLAT")</f>
        <v>DOWN</v>
      </c>
      <c r="P2" s="12" t="str" cm="1">
        <f t="array" ref="P2">_xlfn.IFS(M2&gt;0,"UP",M2&lt;0,"DOWN",M2=0,"FLAT")</f>
        <v>DOWN</v>
      </c>
      <c r="Q2" s="12" t="str" cm="1">
        <f t="array" ref="Q2">_xlfn.IFS(O2=P2,"MATCH",O2&lt;&gt;P2,"NO")</f>
        <v>MATCH</v>
      </c>
      <c r="R2" s="12">
        <f>--ABS(D2)</f>
        <v>0.10000000000000009</v>
      </c>
      <c r="S2" s="16">
        <f>ABS(J2)</f>
        <v>1.3123489071981845E-3</v>
      </c>
    </row>
    <row r="3" spans="1:19">
      <c r="A3" s="13">
        <v>46092</v>
      </c>
      <c r="B3" s="12">
        <v>2.4</v>
      </c>
      <c r="C3" s="12">
        <v>2.4</v>
      </c>
      <c r="D3" s="12">
        <f>B3-C3</f>
        <v>0</v>
      </c>
      <c r="E3" s="14">
        <v>25215.5</v>
      </c>
      <c r="F3" s="14">
        <v>25166.75</v>
      </c>
      <c r="G3" s="14">
        <v>25137.5</v>
      </c>
      <c r="H3" s="14">
        <v>25188.5</v>
      </c>
      <c r="I3" s="15">
        <f t="shared" ref="I3:I52" si="0">F3-E3</f>
        <v>-48.75</v>
      </c>
      <c r="J3" s="16">
        <f t="shared" ref="J3:J52" si="1">(F3-E3)/E3</f>
        <v>-1.9333346552715591E-3</v>
      </c>
      <c r="K3" s="15">
        <f t="shared" ref="K3:K52" si="2">G3-E3</f>
        <v>-78</v>
      </c>
      <c r="L3" s="16">
        <f>(G3-E3)/E3</f>
        <v>-3.0933354484344948E-3</v>
      </c>
      <c r="M3" s="15">
        <f t="shared" ref="M3:M52" si="3">H3-E3</f>
        <v>-27</v>
      </c>
      <c r="N3" s="16">
        <f t="shared" ref="N3:N52" si="4">(H3-E3)/E3</f>
        <v>-1.0707699629196328E-3</v>
      </c>
      <c r="O3" s="12" t="str" cm="1">
        <f t="array" ref="O3">_xlfn.IFS(I3&gt;0,"UP",I3&lt;0,"DOWN",I3=0,"FLAT")</f>
        <v>DOWN</v>
      </c>
      <c r="P3" s="12" t="str" cm="1">
        <f t="array" ref="P3">_xlfn.IFS(M3&gt;0,"UP",M3&lt;0,"DOWN",M3=0,"FLAT")</f>
        <v>DOWN</v>
      </c>
      <c r="Q3" s="12" t="str" cm="1">
        <f t="array" ref="Q3">_xlfn.IFS(O3=P3,"MATCH",O3&lt;&gt;P3,"NO")</f>
        <v>MATCH</v>
      </c>
      <c r="R3" s="12">
        <f>--ABS(D3)</f>
        <v>0</v>
      </c>
      <c r="S3" s="16">
        <f t="shared" ref="S3:S52" si="5">ABS(J3)</f>
        <v>1.9333346552715591E-3</v>
      </c>
    </row>
    <row r="4" spans="1:19">
      <c r="A4" s="13">
        <v>46066</v>
      </c>
      <c r="B4" s="12">
        <v>2.4</v>
      </c>
      <c r="C4" s="12">
        <v>2.5</v>
      </c>
      <c r="D4" s="12">
        <f>B4-C4</f>
        <v>-0.10000000000000009</v>
      </c>
      <c r="E4" s="14">
        <v>24921.75</v>
      </c>
      <c r="F4" s="14">
        <v>24980.25</v>
      </c>
      <c r="G4" s="14">
        <v>24975</v>
      </c>
      <c r="H4" s="14">
        <v>25032.5</v>
      </c>
      <c r="I4" s="15">
        <f t="shared" si="0"/>
        <v>58.5</v>
      </c>
      <c r="J4" s="16">
        <f t="shared" si="1"/>
        <v>2.3473471967257516E-3</v>
      </c>
      <c r="K4" s="15">
        <f t="shared" si="2"/>
        <v>53.25</v>
      </c>
      <c r="L4" s="16">
        <f t="shared" ref="L4:L52" si="6">(G4-E4)/E4</f>
        <v>2.1366878329170304E-3</v>
      </c>
      <c r="M4" s="15">
        <f t="shared" si="3"/>
        <v>110.75</v>
      </c>
      <c r="N4" s="16">
        <f t="shared" si="4"/>
        <v>4.4439094365363585E-3</v>
      </c>
      <c r="O4" s="12" t="str" cm="1">
        <f t="array" ref="O4">_xlfn.IFS(I4&gt;0,"UP",I4&lt;0,"DOWN",I4=0,"FLAT")</f>
        <v>UP</v>
      </c>
      <c r="P4" s="12" t="str" cm="1">
        <f t="array" ref="P4">_xlfn.IFS(M4&gt;0,"UP",M4&lt;0,"DOWN",M4=0,"FLAT")</f>
        <v>UP</v>
      </c>
      <c r="Q4" s="12" t="str" cm="1">
        <f t="array" ref="Q4">_xlfn.IFS(O4=P4,"MATCH",O4&lt;&gt;P4,"NO")</f>
        <v>MATCH</v>
      </c>
      <c r="R4" s="12">
        <f>--ABS(D4)</f>
        <v>0.10000000000000009</v>
      </c>
      <c r="S4" s="16">
        <f t="shared" si="5"/>
        <v>2.3473471967257516E-3</v>
      </c>
    </row>
    <row r="5" spans="1:19">
      <c r="A5" s="13">
        <v>46035</v>
      </c>
      <c r="B5" s="12">
        <v>2.7</v>
      </c>
      <c r="C5" s="12">
        <v>2.7</v>
      </c>
      <c r="D5" s="12">
        <f>B5-C5</f>
        <v>0</v>
      </c>
      <c r="E5" s="14">
        <v>26127.25</v>
      </c>
      <c r="F5" s="14">
        <v>26240.5</v>
      </c>
      <c r="G5" s="14">
        <v>26201.5</v>
      </c>
      <c r="H5" s="14">
        <v>26136.75</v>
      </c>
      <c r="I5" s="15">
        <f t="shared" si="0"/>
        <v>113.25</v>
      </c>
      <c r="J5" s="16">
        <f t="shared" si="1"/>
        <v>4.3345549187151344E-3</v>
      </c>
      <c r="K5" s="15">
        <f t="shared" si="2"/>
        <v>74.25</v>
      </c>
      <c r="L5" s="16">
        <f t="shared" si="6"/>
        <v>2.8418605096211811E-3</v>
      </c>
      <c r="M5" s="15">
        <f t="shared" si="3"/>
        <v>9.5</v>
      </c>
      <c r="N5" s="16">
        <f t="shared" si="4"/>
        <v>3.6360504836903997E-4</v>
      </c>
      <c r="O5" s="12" t="str" cm="1">
        <f t="array" ref="O5">_xlfn.IFS(I5&gt;0,"UP",I5&lt;0,"DOWN",I5=0,"FLAT")</f>
        <v>UP</v>
      </c>
      <c r="P5" s="12" t="str" cm="1">
        <f t="array" ref="P5">_xlfn.IFS(M5&gt;0,"UP",M5&lt;0,"DOWN",M5=0,"FLAT")</f>
        <v>UP</v>
      </c>
      <c r="Q5" s="12" t="str" cm="1">
        <f t="array" ref="Q5">_xlfn.IFS(O5=P5,"MATCH",O5&lt;&gt;P5,"NO")</f>
        <v>MATCH</v>
      </c>
      <c r="R5" s="12">
        <f>--ABS(D5)</f>
        <v>0</v>
      </c>
      <c r="S5" s="16">
        <f t="shared" si="5"/>
        <v>4.3345549187151344E-3</v>
      </c>
    </row>
    <row r="6" spans="1:19">
      <c r="A6" s="13">
        <v>46009</v>
      </c>
      <c r="B6" s="12">
        <v>2.7</v>
      </c>
      <c r="C6" s="12">
        <v>3.1</v>
      </c>
      <c r="D6" s="12">
        <f>B6-C6</f>
        <v>-0.39999999999999991</v>
      </c>
      <c r="E6" s="14">
        <v>25329.75</v>
      </c>
      <c r="F6" s="14">
        <v>25377.25</v>
      </c>
      <c r="G6" s="14">
        <v>25458</v>
      </c>
      <c r="H6" s="14">
        <v>25461.5</v>
      </c>
      <c r="I6" s="15">
        <f t="shared" si="0"/>
        <v>47.5</v>
      </c>
      <c r="J6" s="16">
        <f t="shared" si="1"/>
        <v>1.8752652513348927E-3</v>
      </c>
      <c r="K6" s="15">
        <f t="shared" si="2"/>
        <v>128.25</v>
      </c>
      <c r="L6" s="16">
        <f t="shared" si="6"/>
        <v>5.0632161786042101E-3</v>
      </c>
      <c r="M6" s="15">
        <f t="shared" si="3"/>
        <v>131.75</v>
      </c>
      <c r="N6" s="16">
        <f t="shared" si="4"/>
        <v>5.2013936181762553E-3</v>
      </c>
      <c r="O6" s="12" t="str" cm="1">
        <f t="array" ref="O6">_xlfn.IFS(I6&gt;0,"UP",I6&lt;0,"DOWN",I6=0,"FLAT")</f>
        <v>UP</v>
      </c>
      <c r="P6" s="12" t="str" cm="1">
        <f t="array" ref="P6">_xlfn.IFS(M6&gt;0,"UP",M6&lt;0,"DOWN",M6=0,"FLAT")</f>
        <v>UP</v>
      </c>
      <c r="Q6" s="12" t="str" cm="1">
        <f t="array" ref="Q6">_xlfn.IFS(O6=P6,"MATCH",O6&lt;&gt;P6,"NO")</f>
        <v>MATCH</v>
      </c>
      <c r="R6" s="12">
        <f>--ABS(D6)</f>
        <v>0.39999999999999991</v>
      </c>
      <c r="S6" s="16">
        <f t="shared" si="5"/>
        <v>1.8752652513348927E-3</v>
      </c>
    </row>
    <row r="7" spans="1:19">
      <c r="A7" s="13">
        <v>45954</v>
      </c>
      <c r="B7" s="12">
        <v>3</v>
      </c>
      <c r="C7" s="12">
        <v>3.1</v>
      </c>
      <c r="D7" s="12">
        <f>B7-C7</f>
        <v>-0.10000000000000009</v>
      </c>
      <c r="E7" s="14">
        <v>25832.25</v>
      </c>
      <c r="F7" s="14">
        <v>25951</v>
      </c>
      <c r="G7" s="14">
        <v>25946.25</v>
      </c>
      <c r="H7" s="14">
        <v>25973</v>
      </c>
      <c r="I7" s="15">
        <f t="shared" si="0"/>
        <v>118.75</v>
      </c>
      <c r="J7" s="16">
        <f t="shared" si="1"/>
        <v>4.5969669695825957E-3</v>
      </c>
      <c r="K7" s="15">
        <f t="shared" si="2"/>
        <v>114</v>
      </c>
      <c r="L7" s="16">
        <f>(G7-E7)/E7</f>
        <v>4.4130882907992917E-3</v>
      </c>
      <c r="M7" s="15">
        <f t="shared" si="3"/>
        <v>140.75</v>
      </c>
      <c r="N7" s="16">
        <f t="shared" si="4"/>
        <v>5.4486155871052658E-3</v>
      </c>
      <c r="O7" s="12" t="str" cm="1">
        <f t="array" ref="O7">_xlfn.IFS(I7&gt;0,"UP",I7&lt;0,"DOWN",I7=0,"FLAT")</f>
        <v>UP</v>
      </c>
      <c r="P7" s="12" t="str" cm="1">
        <f t="array" ref="P7">_xlfn.IFS(M7&gt;0,"UP",M7&lt;0,"DOWN",M7=0,"FLAT")</f>
        <v>UP</v>
      </c>
      <c r="Q7" s="12" t="str" cm="1">
        <f t="array" ref="Q7">_xlfn.IFS(O7=P7,"MATCH",O7&lt;&gt;P7,"NO")</f>
        <v>MATCH</v>
      </c>
      <c r="R7" s="12">
        <f>--ABS(D7)</f>
        <v>0.10000000000000009</v>
      </c>
      <c r="S7" s="16">
        <f t="shared" si="5"/>
        <v>4.5969669695825957E-3</v>
      </c>
    </row>
    <row r="8" spans="1:19">
      <c r="A8" s="13">
        <v>45911</v>
      </c>
      <c r="B8" s="12">
        <v>2.9</v>
      </c>
      <c r="C8" s="12">
        <v>2.9</v>
      </c>
      <c r="D8" s="12">
        <f>B8-C8</f>
        <v>0</v>
      </c>
      <c r="E8" s="14">
        <v>24654.5</v>
      </c>
      <c r="F8" s="14">
        <v>24615.5</v>
      </c>
      <c r="G8" s="14">
        <v>24633.25</v>
      </c>
      <c r="H8" s="14">
        <v>24712.75</v>
      </c>
      <c r="I8" s="15">
        <f t="shared" si="0"/>
        <v>-39</v>
      </c>
      <c r="J8" s="16">
        <f t="shared" si="1"/>
        <v>-1.5818613234906407E-3</v>
      </c>
      <c r="K8" s="15">
        <f t="shared" si="2"/>
        <v>-21.25</v>
      </c>
      <c r="L8" s="16">
        <f t="shared" si="6"/>
        <v>-8.6191161856861835E-4</v>
      </c>
      <c r="M8" s="15">
        <f t="shared" si="3"/>
        <v>58.25</v>
      </c>
      <c r="N8" s="16">
        <f t="shared" si="4"/>
        <v>2.3626518485469184E-3</v>
      </c>
      <c r="O8" s="12" t="str" cm="1">
        <f t="array" ref="O8">_xlfn.IFS(I8&gt;0,"UP",I8&lt;0,"DOWN",I8=0,"FLAT")</f>
        <v>DOWN</v>
      </c>
      <c r="P8" s="12" t="str" cm="1">
        <f t="array" ref="P8">_xlfn.IFS(M8&gt;0,"UP",M8&lt;0,"DOWN",M8=0,"FLAT")</f>
        <v>UP</v>
      </c>
      <c r="Q8" s="12" t="str" cm="1">
        <f t="array" ref="Q8">_xlfn.IFS(O8=P8,"MATCH",O8&lt;&gt;P8,"NO")</f>
        <v>NO</v>
      </c>
      <c r="R8" s="12">
        <f>--ABS(D8)</f>
        <v>0</v>
      </c>
      <c r="S8" s="16">
        <f t="shared" si="5"/>
        <v>1.5818613234906407E-3</v>
      </c>
    </row>
    <row r="9" spans="1:19">
      <c r="A9" s="13">
        <v>45881</v>
      </c>
      <c r="B9" s="12">
        <v>2.7</v>
      </c>
      <c r="C9" s="12">
        <v>2.8</v>
      </c>
      <c r="D9" s="12">
        <f>B9-C9</f>
        <v>-9.9999999999999645E-2</v>
      </c>
      <c r="E9" s="14">
        <v>24375.25</v>
      </c>
      <c r="F9" s="14">
        <v>24488.5</v>
      </c>
      <c r="G9" s="14">
        <v>24489.25</v>
      </c>
      <c r="H9" s="14">
        <v>24640.5</v>
      </c>
      <c r="I9" s="15">
        <f t="shared" si="0"/>
        <v>113.25</v>
      </c>
      <c r="J9" s="16">
        <f t="shared" si="1"/>
        <v>4.6461061937826276E-3</v>
      </c>
      <c r="K9" s="15">
        <f t="shared" si="2"/>
        <v>114</v>
      </c>
      <c r="L9" s="16">
        <f t="shared" si="6"/>
        <v>4.6768751089732415E-3</v>
      </c>
      <c r="M9" s="15">
        <f t="shared" si="3"/>
        <v>265.25</v>
      </c>
      <c r="N9" s="16">
        <f t="shared" si="4"/>
        <v>1.0881939672413616E-2</v>
      </c>
      <c r="O9" s="12" t="str" cm="1">
        <f t="array" ref="O9">_xlfn.IFS(I9&gt;0,"UP",I9&lt;0,"DOWN",I9=0,"FLAT")</f>
        <v>UP</v>
      </c>
      <c r="P9" s="12" t="str" cm="1">
        <f t="array" ref="P9">_xlfn.IFS(M9&gt;0,"UP",M9&lt;0,"DOWN",M9=0,"FLAT")</f>
        <v>UP</v>
      </c>
      <c r="Q9" s="12" t="str" cm="1">
        <f t="array" ref="Q9">_xlfn.IFS(O9=P9,"MATCH",O9&lt;&gt;P9,"NO")</f>
        <v>MATCH</v>
      </c>
      <c r="R9" s="12">
        <f>--ABS(D9)</f>
        <v>9.9999999999999645E-2</v>
      </c>
      <c r="S9" s="16">
        <f t="shared" si="5"/>
        <v>4.6461061937826276E-3</v>
      </c>
    </row>
    <row r="10" spans="1:19">
      <c r="A10" s="13">
        <v>45853</v>
      </c>
      <c r="B10" s="12">
        <v>2.7</v>
      </c>
      <c r="C10" s="12">
        <v>2.6</v>
      </c>
      <c r="D10" s="12">
        <f>B10-C10</f>
        <v>0.10000000000000009</v>
      </c>
      <c r="E10" s="14">
        <v>23857.5</v>
      </c>
      <c r="F10" s="14">
        <v>23894</v>
      </c>
      <c r="G10" s="14">
        <v>23874.75</v>
      </c>
      <c r="H10" s="14">
        <v>23758.5</v>
      </c>
      <c r="I10" s="15">
        <f t="shared" si="0"/>
        <v>36.5</v>
      </c>
      <c r="J10" s="16">
        <f t="shared" si="1"/>
        <v>1.5299172168081316E-3</v>
      </c>
      <c r="K10" s="15">
        <f t="shared" si="2"/>
        <v>17.25</v>
      </c>
      <c r="L10" s="16">
        <f t="shared" si="6"/>
        <v>7.2304306821754168E-4</v>
      </c>
      <c r="M10" s="15">
        <f t="shared" si="3"/>
        <v>-99</v>
      </c>
      <c r="N10" s="16">
        <f t="shared" si="4"/>
        <v>-4.1496384784658908E-3</v>
      </c>
      <c r="O10" s="12" t="str" cm="1">
        <f t="array" ref="O10">_xlfn.IFS(I10&gt;0,"UP",I10&lt;0,"DOWN",I10=0,"FLAT")</f>
        <v>UP</v>
      </c>
      <c r="P10" s="12" t="str" cm="1">
        <f t="array" ref="P10">_xlfn.IFS(M10&gt;0,"UP",M10&lt;0,"DOWN",M10=0,"FLAT")</f>
        <v>DOWN</v>
      </c>
      <c r="Q10" s="12" t="str" cm="1">
        <f t="array" ref="Q10">_xlfn.IFS(O10=P10,"MATCH",O10&lt;&gt;P10,"NO")</f>
        <v>NO</v>
      </c>
      <c r="R10" s="12">
        <f>--ABS(D10)</f>
        <v>0.10000000000000009</v>
      </c>
      <c r="S10" s="16">
        <f t="shared" si="5"/>
        <v>1.5299172168081316E-3</v>
      </c>
    </row>
    <row r="11" spans="1:19">
      <c r="A11" s="13">
        <v>45819</v>
      </c>
      <c r="B11" s="12">
        <v>2.4</v>
      </c>
      <c r="C11" s="12">
        <v>2.5</v>
      </c>
      <c r="D11" s="12">
        <f>B11-C11</f>
        <v>-0.10000000000000009</v>
      </c>
      <c r="E11" s="14">
        <v>22879.5</v>
      </c>
      <c r="F11" s="14">
        <v>22988.5</v>
      </c>
      <c r="G11" s="14">
        <v>22973.75</v>
      </c>
      <c r="H11" s="14">
        <v>22795.25</v>
      </c>
      <c r="I11" s="15">
        <f t="shared" si="0"/>
        <v>109</v>
      </c>
      <c r="J11" s="16">
        <f t="shared" si="1"/>
        <v>4.7640901243471232E-3</v>
      </c>
      <c r="K11" s="15">
        <f t="shared" si="2"/>
        <v>94.25</v>
      </c>
      <c r="L11" s="16">
        <f t="shared" si="6"/>
        <v>4.1194082038506089E-3</v>
      </c>
      <c r="M11" s="15">
        <f t="shared" si="3"/>
        <v>-84.25</v>
      </c>
      <c r="N11" s="16">
        <f t="shared" si="4"/>
        <v>-3.6823357153783955E-3</v>
      </c>
      <c r="O11" s="12" t="str" cm="1">
        <f t="array" ref="O11">_xlfn.IFS(I11&gt;0,"UP",I11&lt;0,"DOWN",I11=0,"FLAT")</f>
        <v>UP</v>
      </c>
      <c r="P11" s="12" t="str" cm="1">
        <f t="array" ref="P11">_xlfn.IFS(M11&gt;0,"UP",M11&lt;0,"DOWN",M11=0,"FLAT")</f>
        <v>DOWN</v>
      </c>
      <c r="Q11" s="12" t="str" cm="1">
        <f t="array" ref="Q11">_xlfn.IFS(O11=P11,"MATCH",O11&lt;&gt;P11,"NO")</f>
        <v>NO</v>
      </c>
      <c r="R11" s="12">
        <f>--ABS(D11)</f>
        <v>0.10000000000000009</v>
      </c>
      <c r="S11" s="16">
        <f t="shared" si="5"/>
        <v>4.7640901243471232E-3</v>
      </c>
    </row>
    <row r="12" spans="1:19">
      <c r="A12" s="13">
        <v>45790</v>
      </c>
      <c r="B12" s="12">
        <v>2.2999999999999998</v>
      </c>
      <c r="C12" s="12">
        <v>2.4</v>
      </c>
      <c r="D12" s="12">
        <f>B12-C12</f>
        <v>-0.10000000000000009</v>
      </c>
      <c r="E12" s="14">
        <v>21910.75</v>
      </c>
      <c r="F12" s="14">
        <v>21947</v>
      </c>
      <c r="G12" s="14">
        <v>21908.25</v>
      </c>
      <c r="H12" s="14">
        <v>22173.5</v>
      </c>
      <c r="I12" s="15">
        <f t="shared" si="0"/>
        <v>36.25</v>
      </c>
      <c r="J12" s="16">
        <f t="shared" si="1"/>
        <v>1.654439031069224E-3</v>
      </c>
      <c r="K12" s="15">
        <f t="shared" si="2"/>
        <v>-2.5</v>
      </c>
      <c r="L12" s="16">
        <f t="shared" si="6"/>
        <v>-1.1409924352201545E-4</v>
      </c>
      <c r="M12" s="15">
        <f t="shared" si="3"/>
        <v>262.75</v>
      </c>
      <c r="N12" s="16">
        <f t="shared" si="4"/>
        <v>1.1991830494163823E-2</v>
      </c>
      <c r="O12" s="12" t="str" cm="1">
        <f t="array" ref="O12">_xlfn.IFS(I12&gt;0,"UP",I12&lt;0,"DOWN",I12=0,"FLAT")</f>
        <v>UP</v>
      </c>
      <c r="P12" s="12" t="str" cm="1">
        <f t="array" ref="P12">_xlfn.IFS(M12&gt;0,"UP",M12&lt;0,"DOWN",M12=0,"FLAT")</f>
        <v>UP</v>
      </c>
      <c r="Q12" s="12" t="str" cm="1">
        <f t="array" ref="Q12">_xlfn.IFS(O12=P12,"MATCH",O12&lt;&gt;P12,"NO")</f>
        <v>MATCH</v>
      </c>
      <c r="R12" s="12">
        <f>--ABS(D12)</f>
        <v>0.10000000000000009</v>
      </c>
      <c r="S12" s="16">
        <f t="shared" si="5"/>
        <v>1.654439031069224E-3</v>
      </c>
    </row>
    <row r="13" spans="1:19">
      <c r="A13" s="13">
        <v>45757</v>
      </c>
      <c r="B13" s="12">
        <v>2.4</v>
      </c>
      <c r="C13" s="12">
        <v>2.5</v>
      </c>
      <c r="D13" s="12">
        <f>B13-C13</f>
        <v>-0.10000000000000009</v>
      </c>
      <c r="E13" s="14">
        <v>19764</v>
      </c>
      <c r="F13" s="14">
        <v>19838.75</v>
      </c>
      <c r="G13" s="14">
        <v>19719.5</v>
      </c>
      <c r="H13" s="14">
        <v>19406</v>
      </c>
      <c r="I13" s="15">
        <f t="shared" si="0"/>
        <v>74.75</v>
      </c>
      <c r="J13" s="16">
        <f t="shared" si="1"/>
        <v>3.7821291236591783E-3</v>
      </c>
      <c r="K13" s="15">
        <f>G13-E13</f>
        <v>-44.5</v>
      </c>
      <c r="L13" s="16">
        <f>(G13-E13)/E13</f>
        <v>-2.2515685083991095E-3</v>
      </c>
      <c r="M13" s="15">
        <f>H13-E13</f>
        <v>-358</v>
      </c>
      <c r="N13" s="16">
        <f t="shared" si="4"/>
        <v>-1.8113742157458004E-2</v>
      </c>
      <c r="O13" s="12" t="str" cm="1">
        <f t="array" ref="O13">_xlfn.IFS(I13&gt;0,"UP",I13&lt;0,"DOWN",I13=0,"FLAT")</f>
        <v>UP</v>
      </c>
      <c r="P13" s="12" t="str" cm="1">
        <f t="array" ref="P13">_xlfn.IFS(M13&gt;0,"UP",M13&lt;0,"DOWN",M13=0,"FLAT")</f>
        <v>DOWN</v>
      </c>
      <c r="Q13" s="12" t="str" cm="1">
        <f t="array" ref="Q13">_xlfn.IFS(O13=P13,"MATCH",O13&lt;&gt;P13,"NO")</f>
        <v>NO</v>
      </c>
      <c r="R13" s="12">
        <f>--ABS(D13)</f>
        <v>0.10000000000000009</v>
      </c>
      <c r="S13" s="16">
        <f t="shared" si="5"/>
        <v>3.7821291236591783E-3</v>
      </c>
    </row>
    <row r="14" spans="1:19">
      <c r="A14" s="13">
        <v>45728</v>
      </c>
      <c r="B14" s="12">
        <v>2.8</v>
      </c>
      <c r="C14" s="12">
        <v>2.9</v>
      </c>
      <c r="D14" s="12">
        <f>B14-C14</f>
        <v>-0.10000000000000009</v>
      </c>
      <c r="E14" s="14">
        <v>20724.25</v>
      </c>
      <c r="F14" s="14">
        <v>20827.25</v>
      </c>
      <c r="G14" s="14">
        <v>20786.25</v>
      </c>
      <c r="H14" s="14">
        <v>20738.5</v>
      </c>
      <c r="I14" s="15">
        <f t="shared" si="0"/>
        <v>103</v>
      </c>
      <c r="J14" s="16">
        <f t="shared" si="1"/>
        <v>4.970023040640795E-3</v>
      </c>
      <c r="K14" s="15">
        <f t="shared" si="2"/>
        <v>62</v>
      </c>
      <c r="L14" s="16">
        <f t="shared" si="6"/>
        <v>2.9916643545604788E-3</v>
      </c>
      <c r="M14" s="15">
        <f t="shared" si="3"/>
        <v>14.25</v>
      </c>
      <c r="N14" s="16">
        <f t="shared" si="4"/>
        <v>6.8760027504011006E-4</v>
      </c>
      <c r="O14" s="12" t="str" cm="1">
        <f t="array" ref="O14">_xlfn.IFS(I14&gt;0,"UP",I14&lt;0,"DOWN",I14=0,"FLAT")</f>
        <v>UP</v>
      </c>
      <c r="P14" s="12" t="str" cm="1">
        <f t="array" ref="P14">_xlfn.IFS(M14&gt;0,"UP",M14&lt;0,"DOWN",M14=0,"FLAT")</f>
        <v>UP</v>
      </c>
      <c r="Q14" s="12" t="str" cm="1">
        <f t="array" ref="Q14">_xlfn.IFS(O14=P14,"MATCH",O14&lt;&gt;P14,"NO")</f>
        <v>MATCH</v>
      </c>
      <c r="R14" s="12">
        <f>--ABS(D14)</f>
        <v>0.10000000000000009</v>
      </c>
      <c r="S14" s="16">
        <f t="shared" si="5"/>
        <v>4.970023040640795E-3</v>
      </c>
    </row>
    <row r="15" spans="1:19">
      <c r="A15" s="13">
        <v>45700</v>
      </c>
      <c r="B15" s="12">
        <v>3</v>
      </c>
      <c r="C15" s="12">
        <v>2.9</v>
      </c>
      <c r="D15" s="12">
        <f>B15-C15</f>
        <v>0.10000000000000009</v>
      </c>
      <c r="E15" s="14">
        <v>22955.25</v>
      </c>
      <c r="F15" s="14">
        <v>22720.5</v>
      </c>
      <c r="G15" s="14">
        <v>22680</v>
      </c>
      <c r="H15" s="14">
        <v>22931.5</v>
      </c>
      <c r="I15" s="15">
        <f t="shared" si="0"/>
        <v>-234.75</v>
      </c>
      <c r="J15" s="16">
        <f t="shared" si="1"/>
        <v>-1.0226418793086549E-2</v>
      </c>
      <c r="K15" s="15">
        <f t="shared" si="2"/>
        <v>-275.25</v>
      </c>
      <c r="L15" s="16">
        <f t="shared" si="6"/>
        <v>-1.1990721076877838E-2</v>
      </c>
      <c r="M15" s="15">
        <f t="shared" si="3"/>
        <v>-23.75</v>
      </c>
      <c r="N15" s="16">
        <f t="shared" si="4"/>
        <v>-1.0346217096306946E-3</v>
      </c>
      <c r="O15" s="12" t="str" cm="1">
        <f t="array" ref="O15">_xlfn.IFS(I15&gt;0,"UP",I15&lt;0,"DOWN",I15=0,"FLAT")</f>
        <v>DOWN</v>
      </c>
      <c r="P15" s="12" t="str" cm="1">
        <f t="array" ref="P15">_xlfn.IFS(M15&gt;0,"UP",M15&lt;0,"DOWN",M15=0,"FLAT")</f>
        <v>DOWN</v>
      </c>
      <c r="Q15" s="12" t="str" cm="1">
        <f t="array" ref="Q15">_xlfn.IFS(O15=P15,"MATCH",O15&lt;&gt;P15,"NO")</f>
        <v>MATCH</v>
      </c>
      <c r="R15" s="12">
        <f>--ABS(D15)</f>
        <v>0.10000000000000009</v>
      </c>
      <c r="S15" s="16">
        <f t="shared" si="5"/>
        <v>1.0226418793086549E-2</v>
      </c>
    </row>
    <row r="16" spans="1:19">
      <c r="A16" s="13">
        <v>45672</v>
      </c>
      <c r="B16" s="12">
        <v>2.9</v>
      </c>
      <c r="C16" s="12">
        <v>2.9</v>
      </c>
      <c r="D16" s="12">
        <f>B16-C16</f>
        <v>0</v>
      </c>
      <c r="E16" s="14">
        <v>22123.5</v>
      </c>
      <c r="F16" s="14">
        <v>22414.5</v>
      </c>
      <c r="G16" s="14">
        <v>22418.75</v>
      </c>
      <c r="H16" s="14">
        <v>22525.5</v>
      </c>
      <c r="I16" s="15">
        <f t="shared" si="0"/>
        <v>291</v>
      </c>
      <c r="J16" s="16">
        <f t="shared" si="1"/>
        <v>1.3153434131127534E-2</v>
      </c>
      <c r="K16" s="15">
        <f t="shared" si="2"/>
        <v>295.25</v>
      </c>
      <c r="L16" s="16">
        <f t="shared" si="6"/>
        <v>1.3345537550568401E-2</v>
      </c>
      <c r="M16" s="15">
        <f t="shared" si="3"/>
        <v>402</v>
      </c>
      <c r="N16" s="16">
        <f t="shared" si="4"/>
        <v>1.8170723438877212E-2</v>
      </c>
      <c r="O16" s="12" t="str" cm="1">
        <f t="array" ref="O16">_xlfn.IFS(I16&gt;0,"UP",I16&lt;0,"DOWN",I16=0,"FLAT")</f>
        <v>UP</v>
      </c>
      <c r="P16" s="12" t="str" cm="1">
        <f t="array" ref="P16">_xlfn.IFS(M16&gt;0,"UP",M16&lt;0,"DOWN",M16=0,"FLAT")</f>
        <v>UP</v>
      </c>
      <c r="Q16" s="12" t="str" cm="1">
        <f t="array" ref="Q16">_xlfn.IFS(O16=P16,"MATCH",O16&lt;&gt;P16,"NO")</f>
        <v>MATCH</v>
      </c>
      <c r="R16" s="12">
        <f>--ABS(D16)</f>
        <v>0</v>
      </c>
      <c r="S16" s="16">
        <f t="shared" si="5"/>
        <v>1.3153434131127534E-2</v>
      </c>
    </row>
    <row r="17" spans="1:19">
      <c r="A17" s="13">
        <v>45637</v>
      </c>
      <c r="B17" s="12">
        <v>2.7</v>
      </c>
      <c r="C17" s="12">
        <v>2.7</v>
      </c>
      <c r="D17" s="12">
        <f>B17-C17</f>
        <v>0</v>
      </c>
      <c r="E17" s="14">
        <v>22891.5</v>
      </c>
      <c r="F17" s="14">
        <v>22939</v>
      </c>
      <c r="G17" s="14">
        <v>22954.75</v>
      </c>
      <c r="H17" s="14">
        <v>23219</v>
      </c>
      <c r="I17" s="15">
        <f t="shared" si="0"/>
        <v>47.5</v>
      </c>
      <c r="J17" s="16">
        <f t="shared" si="1"/>
        <v>2.0750060065963349E-3</v>
      </c>
      <c r="K17" s="15">
        <f t="shared" si="2"/>
        <v>63.25</v>
      </c>
      <c r="L17" s="16">
        <f t="shared" si="6"/>
        <v>2.7630343140466985E-3</v>
      </c>
      <c r="M17" s="15">
        <f t="shared" si="3"/>
        <v>327.5</v>
      </c>
      <c r="N17" s="16">
        <f t="shared" si="4"/>
        <v>1.4306620361269467E-2</v>
      </c>
      <c r="O17" s="12" t="str" cm="1">
        <f t="array" ref="O17">_xlfn.IFS(I17&gt;0,"UP",I17&lt;0,"DOWN",I17=0,"FLAT")</f>
        <v>UP</v>
      </c>
      <c r="P17" s="12" t="str" cm="1">
        <f t="array" ref="P17">_xlfn.IFS(M17&gt;0,"UP",M17&lt;0,"DOWN",M17=0,"FLAT")</f>
        <v>UP</v>
      </c>
      <c r="Q17" s="12" t="str" cm="1">
        <f t="array" ref="Q17">_xlfn.IFS(O17=P17,"MATCH",O17&lt;&gt;P17,"NO")</f>
        <v>MATCH</v>
      </c>
      <c r="R17" s="12">
        <f>--ABS(D17)</f>
        <v>0</v>
      </c>
      <c r="S17" s="16">
        <f t="shared" si="5"/>
        <v>2.0750060065963349E-3</v>
      </c>
    </row>
    <row r="18" spans="1:19">
      <c r="A18" s="13">
        <v>45609</v>
      </c>
      <c r="B18" s="12">
        <v>2.6</v>
      </c>
      <c r="C18" s="12">
        <v>2.6</v>
      </c>
      <c r="D18" s="12">
        <f>B18-C18</f>
        <v>0</v>
      </c>
      <c r="E18" s="14">
        <v>22573.5</v>
      </c>
      <c r="F18" s="14">
        <v>22634.5</v>
      </c>
      <c r="G18" s="14">
        <v>22658.75</v>
      </c>
      <c r="H18" s="14">
        <v>22586</v>
      </c>
      <c r="I18" s="15">
        <f t="shared" si="0"/>
        <v>61</v>
      </c>
      <c r="J18" s="16">
        <f t="shared" si="1"/>
        <v>2.7022836511839104E-3</v>
      </c>
      <c r="K18" s="15">
        <f t="shared" si="2"/>
        <v>85.25</v>
      </c>
      <c r="L18" s="16">
        <f t="shared" si="6"/>
        <v>3.7765521518594814E-3</v>
      </c>
      <c r="M18" s="15">
        <f t="shared" si="3"/>
        <v>12.5</v>
      </c>
      <c r="N18" s="16">
        <f t="shared" si="4"/>
        <v>5.5374664983276847E-4</v>
      </c>
      <c r="O18" s="12" t="str" cm="1">
        <f t="array" ref="O18">_xlfn.IFS(I18&gt;0,"UP",I18&lt;0,"DOWN",I18=0,"FLAT")</f>
        <v>UP</v>
      </c>
      <c r="P18" s="12" t="str" cm="1">
        <f t="array" ref="P18">_xlfn.IFS(M18&gt;0,"UP",M18&lt;0,"DOWN",M18=0,"FLAT")</f>
        <v>UP</v>
      </c>
      <c r="Q18" s="12" t="str" cm="1">
        <f t="array" ref="Q18">_xlfn.IFS(O18=P18,"MATCH",O18&lt;&gt;P18,"NO")</f>
        <v>MATCH</v>
      </c>
      <c r="R18" s="12">
        <f>--ABS(D18)</f>
        <v>0</v>
      </c>
      <c r="S18" s="16">
        <f t="shared" si="5"/>
        <v>2.7022836511839104E-3</v>
      </c>
    </row>
    <row r="19" spans="1:19">
      <c r="A19" s="13">
        <v>45575</v>
      </c>
      <c r="B19" s="12">
        <v>2.4</v>
      </c>
      <c r="C19" s="12">
        <v>2.2999999999999998</v>
      </c>
      <c r="D19" s="12">
        <f>B19-C19</f>
        <v>0.10000000000000009</v>
      </c>
      <c r="E19" s="14">
        <v>21869.75</v>
      </c>
      <c r="F19" s="14">
        <v>21824.5</v>
      </c>
      <c r="G19" s="14">
        <v>21777.25</v>
      </c>
      <c r="H19" s="14">
        <v>21856.75</v>
      </c>
      <c r="I19" s="15">
        <f t="shared" si="0"/>
        <v>-45.25</v>
      </c>
      <c r="J19" s="16">
        <f t="shared" si="1"/>
        <v>-2.0690680048926027E-3</v>
      </c>
      <c r="K19" s="15">
        <f t="shared" si="2"/>
        <v>-92.5</v>
      </c>
      <c r="L19" s="16">
        <f t="shared" si="6"/>
        <v>-4.2295865293384702E-3</v>
      </c>
      <c r="M19" s="15">
        <f t="shared" si="3"/>
        <v>-13</v>
      </c>
      <c r="N19" s="16">
        <f t="shared" si="4"/>
        <v>-5.9442837709621735E-4</v>
      </c>
      <c r="O19" s="12" t="str" cm="1">
        <f t="array" ref="O19">_xlfn.IFS(I19&gt;0,"UP",I19&lt;0,"DOWN",I19=0,"FLAT")</f>
        <v>DOWN</v>
      </c>
      <c r="P19" s="12" t="str" cm="1">
        <f t="array" ref="P19">_xlfn.IFS(M19&gt;0,"UP",M19&lt;0,"DOWN",M19=0,"FLAT")</f>
        <v>DOWN</v>
      </c>
      <c r="Q19" s="12" t="str" cm="1">
        <f t="array" ref="Q19">_xlfn.IFS(O19=P19,"MATCH",O19&lt;&gt;P19,"NO")</f>
        <v>MATCH</v>
      </c>
      <c r="R19" s="12">
        <f>--ABS(D19)</f>
        <v>0.10000000000000009</v>
      </c>
      <c r="S19" s="16">
        <f t="shared" si="5"/>
        <v>2.0690680048926027E-3</v>
      </c>
    </row>
    <row r="20" spans="1:19">
      <c r="A20" s="13">
        <v>45546</v>
      </c>
      <c r="B20" s="12">
        <v>2.5</v>
      </c>
      <c r="C20" s="12">
        <v>2.5</v>
      </c>
      <c r="D20" s="12">
        <f>B20-C20</f>
        <v>0</v>
      </c>
      <c r="E20" s="14">
        <v>20513.75</v>
      </c>
      <c r="F20" s="14">
        <v>20439.25</v>
      </c>
      <c r="G20" s="14">
        <v>20440.5</v>
      </c>
      <c r="H20" s="14">
        <v>20914.5</v>
      </c>
      <c r="I20" s="15">
        <f t="shared" si="0"/>
        <v>-74.5</v>
      </c>
      <c r="J20" s="16">
        <f t="shared" si="1"/>
        <v>-3.6317104381207725E-3</v>
      </c>
      <c r="K20" s="15">
        <f t="shared" si="2"/>
        <v>-73.25</v>
      </c>
      <c r="L20" s="16">
        <f t="shared" si="6"/>
        <v>-3.5707756992261288E-3</v>
      </c>
      <c r="M20" s="15">
        <f>H20-E20</f>
        <v>400.75</v>
      </c>
      <c r="N20" s="16">
        <f t="shared" si="4"/>
        <v>1.9535677289622813E-2</v>
      </c>
      <c r="O20" s="12" t="str" cm="1">
        <f t="array" ref="O20">_xlfn.IFS(I20&gt;0,"UP",I20&lt;0,"DOWN",I20=0,"FLAT")</f>
        <v>DOWN</v>
      </c>
      <c r="P20" s="12" t="str" cm="1">
        <f t="array" ref="P20">_xlfn.IFS(M20&gt;0,"UP",M20&lt;0,"DOWN",M20=0,"FLAT")</f>
        <v>UP</v>
      </c>
      <c r="Q20" s="12" t="str" cm="1">
        <f t="array" ref="Q20">_xlfn.IFS(O20=P20,"MATCH",O20&lt;&gt;P20,"NO")</f>
        <v>NO</v>
      </c>
      <c r="R20" s="12">
        <f>--ABS(D20)</f>
        <v>0</v>
      </c>
      <c r="S20" s="16">
        <f t="shared" si="5"/>
        <v>3.6317104381207725E-3</v>
      </c>
    </row>
    <row r="21" spans="1:19">
      <c r="A21" s="13">
        <v>45518</v>
      </c>
      <c r="B21" s="12">
        <v>2.9</v>
      </c>
      <c r="C21" s="12">
        <v>3</v>
      </c>
      <c r="D21" s="12">
        <f>B21-C21</f>
        <v>-0.10000000000000009</v>
      </c>
      <c r="E21" s="14">
        <v>20764.75</v>
      </c>
      <c r="F21" s="14">
        <v>20659.5</v>
      </c>
      <c r="G21" s="14">
        <v>20806.25</v>
      </c>
      <c r="H21" s="14">
        <v>20766.75</v>
      </c>
      <c r="I21" s="15">
        <f t="shared" si="0"/>
        <v>-105.25</v>
      </c>
      <c r="J21" s="16">
        <f t="shared" si="1"/>
        <v>-5.0686861146895584E-3</v>
      </c>
      <c r="K21" s="15">
        <f t="shared" si="2"/>
        <v>41.5</v>
      </c>
      <c r="L21" s="16">
        <f t="shared" si="6"/>
        <v>1.9985793231317496E-3</v>
      </c>
      <c r="M21" s="15">
        <f t="shared" si="3"/>
        <v>2</v>
      </c>
      <c r="N21" s="16">
        <f t="shared" si="4"/>
        <v>9.6317075813578295E-5</v>
      </c>
      <c r="O21" s="12" t="str" cm="1">
        <f t="array" ref="O21">_xlfn.IFS(I21&gt;0,"UP",I21&lt;0,"DOWN",I21=0,"FLAT")</f>
        <v>DOWN</v>
      </c>
      <c r="P21" s="12" t="str" cm="1">
        <f t="array" ref="P21">_xlfn.IFS(M21&gt;0,"UP",M21&lt;0,"DOWN",M21=0,"FLAT")</f>
        <v>UP</v>
      </c>
      <c r="Q21" s="12" t="str" cm="1">
        <f t="array" ref="Q21">_xlfn.IFS(O21=P21,"MATCH",O21&lt;&gt;P21,"NO")</f>
        <v>NO</v>
      </c>
      <c r="R21" s="12">
        <f>--ABS(D21)</f>
        <v>0.10000000000000009</v>
      </c>
      <c r="S21" s="16">
        <f t="shared" si="5"/>
        <v>5.0686861146895584E-3</v>
      </c>
    </row>
    <row r="22" spans="1:19">
      <c r="A22" s="13">
        <v>45484</v>
      </c>
      <c r="B22" s="12">
        <v>3</v>
      </c>
      <c r="C22" s="12">
        <v>3.1</v>
      </c>
      <c r="D22" s="12">
        <f>B22-C22</f>
        <v>-0.10000000000000009</v>
      </c>
      <c r="E22" s="14">
        <v>22550.25</v>
      </c>
      <c r="F22" s="14">
        <v>22628</v>
      </c>
      <c r="G22" s="14">
        <v>22608.25</v>
      </c>
      <c r="H22" s="14">
        <v>22089.25</v>
      </c>
      <c r="I22" s="15">
        <f t="shared" si="0"/>
        <v>77.75</v>
      </c>
      <c r="J22" s="16">
        <f t="shared" si="1"/>
        <v>3.4478553452844205E-3</v>
      </c>
      <c r="K22" s="15">
        <f t="shared" si="2"/>
        <v>58</v>
      </c>
      <c r="L22" s="16">
        <f t="shared" si="6"/>
        <v>2.5720335694726223E-3</v>
      </c>
      <c r="M22" s="15">
        <f t="shared" si="3"/>
        <v>-461</v>
      </c>
      <c r="N22" s="16">
        <f t="shared" si="4"/>
        <v>-2.0443232336670326E-2</v>
      </c>
      <c r="O22" s="12" t="str" cm="1">
        <f t="array" ref="O22">_xlfn.IFS(I22&gt;0,"UP",I22&lt;0,"DOWN",I22=0,"FLAT")</f>
        <v>UP</v>
      </c>
      <c r="P22" s="12" t="str" cm="1">
        <f t="array" ref="P22">_xlfn.IFS(M22&gt;0,"UP",M22&lt;0,"DOWN",M22=0,"FLAT")</f>
        <v>DOWN</v>
      </c>
      <c r="Q22" s="12" t="str" cm="1">
        <f t="array" ref="Q22">_xlfn.IFS(O22=P22,"MATCH",O22&lt;&gt;P22,"NO")</f>
        <v>NO</v>
      </c>
      <c r="R22" s="12">
        <f>--ABS(D22)</f>
        <v>0.10000000000000009</v>
      </c>
      <c r="S22" s="16">
        <f t="shared" si="5"/>
        <v>3.4478553452844205E-3</v>
      </c>
    </row>
    <row r="23" spans="1:19">
      <c r="A23" s="13">
        <v>45455</v>
      </c>
      <c r="B23" s="12">
        <v>3.3</v>
      </c>
      <c r="C23" s="12">
        <v>3.4</v>
      </c>
      <c r="D23" s="12">
        <f>B23-C23</f>
        <v>-0.10000000000000009</v>
      </c>
      <c r="E23" s="14">
        <v>21198.5</v>
      </c>
      <c r="F23" s="14">
        <v>21347</v>
      </c>
      <c r="G23" s="14">
        <v>21319</v>
      </c>
      <c r="H23" s="14">
        <v>21411.75</v>
      </c>
      <c r="I23" s="15">
        <f t="shared" si="0"/>
        <v>148.5</v>
      </c>
      <c r="J23" s="16">
        <f t="shared" si="1"/>
        <v>7.0052126329693135E-3</v>
      </c>
      <c r="K23" s="15">
        <f t="shared" si="2"/>
        <v>120.5</v>
      </c>
      <c r="L23" s="16">
        <f t="shared" si="6"/>
        <v>5.6843644597495109E-3</v>
      </c>
      <c r="M23" s="15">
        <f t="shared" si="3"/>
        <v>213.25</v>
      </c>
      <c r="N23" s="16">
        <f t="shared" si="4"/>
        <v>1.0059674033540109E-2</v>
      </c>
      <c r="O23" s="12" t="str" cm="1">
        <f t="array" ref="O23">_xlfn.IFS(I23&gt;0,"UP",I23&lt;0,"DOWN",I23=0,"FLAT")</f>
        <v>UP</v>
      </c>
      <c r="P23" s="12" t="str" cm="1">
        <f t="array" ref="P23">_xlfn.IFS(M23&gt;0,"UP",M23&lt;0,"DOWN",M23=0,"FLAT")</f>
        <v>UP</v>
      </c>
      <c r="Q23" s="12" t="str" cm="1">
        <f t="array" ref="Q23">_xlfn.IFS(O23=P23,"MATCH",O23&lt;&gt;P23,"NO")</f>
        <v>MATCH</v>
      </c>
      <c r="R23" s="12">
        <f>--ABS(D23)</f>
        <v>0.10000000000000009</v>
      </c>
      <c r="S23" s="16">
        <f t="shared" si="5"/>
        <v>7.0052126329693135E-3</v>
      </c>
    </row>
    <row r="24" spans="1:19">
      <c r="A24" s="13">
        <v>45427</v>
      </c>
      <c r="B24" s="12">
        <v>3.4</v>
      </c>
      <c r="C24" s="12">
        <v>3.4</v>
      </c>
      <c r="D24" s="12">
        <f>B24-C24</f>
        <v>0</v>
      </c>
      <c r="E24" s="14">
        <v>20327.75</v>
      </c>
      <c r="F24" s="14">
        <v>20437.5</v>
      </c>
      <c r="G24" s="14">
        <v>20408.25</v>
      </c>
      <c r="H24" s="14">
        <v>20612.25</v>
      </c>
      <c r="I24" s="15">
        <f t="shared" si="0"/>
        <v>109.75</v>
      </c>
      <c r="J24" s="16">
        <f t="shared" si="1"/>
        <v>5.3990235023551551E-3</v>
      </c>
      <c r="K24" s="15">
        <f t="shared" si="2"/>
        <v>80.5</v>
      </c>
      <c r="L24" s="16">
        <f t="shared" si="6"/>
        <v>3.960103798993986E-3</v>
      </c>
      <c r="M24" s="15">
        <f t="shared" si="3"/>
        <v>284.5</v>
      </c>
      <c r="N24" s="16">
        <f t="shared" si="4"/>
        <v>1.3995646345512907E-2</v>
      </c>
      <c r="O24" s="12" t="str" cm="1">
        <f t="array" ref="O24">_xlfn.IFS(I24&gt;0,"UP",I24&lt;0,"DOWN",I24=0,"FLAT")</f>
        <v>UP</v>
      </c>
      <c r="P24" s="12" t="str" cm="1">
        <f t="array" ref="P24">_xlfn.IFS(M24&gt;0,"UP",M24&lt;0,"DOWN",M24=0,"FLAT")</f>
        <v>UP</v>
      </c>
      <c r="Q24" s="12" t="str" cm="1">
        <f t="array" ref="Q24">_xlfn.IFS(O24=P24,"MATCH",O24&lt;&gt;P24,"NO")</f>
        <v>MATCH</v>
      </c>
      <c r="R24" s="12">
        <f>--ABS(D24)</f>
        <v>0</v>
      </c>
      <c r="S24" s="16">
        <f t="shared" si="5"/>
        <v>5.3990235023551551E-3</v>
      </c>
    </row>
    <row r="25" spans="1:19">
      <c r="A25" s="13">
        <v>45392</v>
      </c>
      <c r="B25" s="12">
        <v>3.5</v>
      </c>
      <c r="C25" s="12">
        <v>3.4</v>
      </c>
      <c r="D25" s="12">
        <f>B25-C25</f>
        <v>0.10000000000000009</v>
      </c>
      <c r="E25" s="14">
        <v>20326.75</v>
      </c>
      <c r="F25" s="14">
        <v>20049</v>
      </c>
      <c r="G25" s="14">
        <v>19996.25</v>
      </c>
      <c r="H25" s="14">
        <v>20111</v>
      </c>
      <c r="I25" s="15">
        <f t="shared" si="0"/>
        <v>-277.75</v>
      </c>
      <c r="J25" s="16">
        <f t="shared" si="1"/>
        <v>-1.36642601498026E-2</v>
      </c>
      <c r="K25" s="15">
        <f t="shared" si="2"/>
        <v>-330.5</v>
      </c>
      <c r="L25" s="16">
        <f t="shared" si="6"/>
        <v>-1.6259362662501383E-2</v>
      </c>
      <c r="M25" s="15">
        <f t="shared" si="3"/>
        <v>-215.75</v>
      </c>
      <c r="N25" s="16">
        <f t="shared" si="4"/>
        <v>-1.0614092267578437E-2</v>
      </c>
      <c r="O25" s="12" t="str" cm="1">
        <f t="array" ref="O25">_xlfn.IFS(I25&gt;0,"UP",I25&lt;0,"DOWN",I25=0,"FLAT")</f>
        <v>DOWN</v>
      </c>
      <c r="P25" s="12" t="str" cm="1">
        <f t="array" ref="P25">_xlfn.IFS(M25&gt;0,"UP",M25&lt;0,"DOWN",M25=0,"FLAT")</f>
        <v>DOWN</v>
      </c>
      <c r="Q25" s="12" t="str" cm="1">
        <f t="array" ref="Q25">_xlfn.IFS(O25=P25,"MATCH",O25&lt;&gt;P25,"NO")</f>
        <v>MATCH</v>
      </c>
      <c r="R25" s="12">
        <f>--ABS(D25)</f>
        <v>0.10000000000000009</v>
      </c>
      <c r="S25" s="16">
        <f t="shared" si="5"/>
        <v>1.36642601498026E-2</v>
      </c>
    </row>
    <row r="26" spans="1:19">
      <c r="A26" s="13">
        <v>45363</v>
      </c>
      <c r="B26" s="12">
        <v>3.2</v>
      </c>
      <c r="C26" s="12">
        <v>3.1</v>
      </c>
      <c r="D26" s="12">
        <f>B26-C26</f>
        <v>0.10000000000000009</v>
      </c>
      <c r="E26" s="14">
        <v>20211.5</v>
      </c>
      <c r="F26" s="14">
        <v>20241.25</v>
      </c>
      <c r="G26" s="14">
        <v>20277.25</v>
      </c>
      <c r="H26" s="14">
        <v>20395.25</v>
      </c>
      <c r="I26" s="15">
        <f t="shared" si="0"/>
        <v>29.75</v>
      </c>
      <c r="J26" s="16">
        <f t="shared" si="1"/>
        <v>1.4719342948321501E-3</v>
      </c>
      <c r="K26" s="15">
        <f t="shared" si="2"/>
        <v>65.75</v>
      </c>
      <c r="L26" s="16">
        <f t="shared" si="6"/>
        <v>3.2530984835366004E-3</v>
      </c>
      <c r="M26" s="15">
        <f t="shared" si="3"/>
        <v>183.75</v>
      </c>
      <c r="N26" s="16">
        <f t="shared" si="4"/>
        <v>9.0913588798456329E-3</v>
      </c>
      <c r="O26" s="12" t="str" cm="1">
        <f t="array" ref="O26">_xlfn.IFS(I26&gt;0,"UP",I26&lt;0,"DOWN",I26=0,"FLAT")</f>
        <v>UP</v>
      </c>
      <c r="P26" s="12" t="str" cm="1">
        <f t="array" ref="P26">_xlfn.IFS(M26&gt;0,"UP",M26&lt;0,"DOWN",M26=0,"FLAT")</f>
        <v>UP</v>
      </c>
      <c r="Q26" s="12" t="str" cm="1">
        <f t="array" ref="Q26">_xlfn.IFS(O26=P26,"MATCH",O26&lt;&gt;P26,"NO")</f>
        <v>MATCH</v>
      </c>
      <c r="R26" s="12">
        <f>--ABS(D26)</f>
        <v>0.10000000000000009</v>
      </c>
      <c r="S26" s="16">
        <f t="shared" si="5"/>
        <v>1.4719342948321501E-3</v>
      </c>
    </row>
    <row r="27" spans="1:19">
      <c r="A27" s="13">
        <v>45335</v>
      </c>
      <c r="B27" s="12">
        <v>3.1</v>
      </c>
      <c r="C27" s="12">
        <v>2.9</v>
      </c>
      <c r="D27" s="12">
        <f>B27-C27</f>
        <v>0.20000000000000018</v>
      </c>
      <c r="E27" s="14">
        <v>20006.75</v>
      </c>
      <c r="F27" s="14">
        <v>19854</v>
      </c>
      <c r="G27" s="14">
        <v>19844.75</v>
      </c>
      <c r="H27" s="14">
        <v>19845.25</v>
      </c>
      <c r="I27" s="15">
        <f t="shared" si="0"/>
        <v>-152.75</v>
      </c>
      <c r="J27" s="16">
        <f t="shared" si="1"/>
        <v>-7.634923213415472E-3</v>
      </c>
      <c r="K27" s="15">
        <f t="shared" si="2"/>
        <v>-162</v>
      </c>
      <c r="L27" s="16">
        <f t="shared" si="6"/>
        <v>-8.0972671723293383E-3</v>
      </c>
      <c r="M27" s="15">
        <f t="shared" si="3"/>
        <v>-161.5</v>
      </c>
      <c r="N27" s="16">
        <f t="shared" si="4"/>
        <v>-8.0722756069826433E-3</v>
      </c>
      <c r="O27" s="12" t="str" cm="1">
        <f t="array" ref="O27">_xlfn.IFS(I27&gt;0,"UP",I27&lt;0,"DOWN",I27=0,"FLAT")</f>
        <v>DOWN</v>
      </c>
      <c r="P27" s="12" t="str" cm="1">
        <f t="array" ref="P27">_xlfn.IFS(M27&gt;0,"UP",M27&lt;0,"DOWN",M27=0,"FLAT")</f>
        <v>DOWN</v>
      </c>
      <c r="Q27" s="12" t="str" cm="1">
        <f t="array" ref="Q27">_xlfn.IFS(O27=P27,"MATCH",O27&lt;&gt;P27,"NO")</f>
        <v>MATCH</v>
      </c>
      <c r="R27" s="12">
        <f>--ABS(D27)</f>
        <v>0.20000000000000018</v>
      </c>
      <c r="S27" s="16">
        <f t="shared" si="5"/>
        <v>7.634923213415472E-3</v>
      </c>
    </row>
    <row r="28" spans="1:19">
      <c r="A28" s="13">
        <v>45302</v>
      </c>
      <c r="B28" s="12">
        <v>3.4</v>
      </c>
      <c r="C28" s="12">
        <v>3.2</v>
      </c>
      <c r="D28" s="12">
        <f>B28-C28</f>
        <v>0.19999999999999973</v>
      </c>
      <c r="E28" s="14">
        <v>19190.5</v>
      </c>
      <c r="F28" s="14">
        <v>19113.5</v>
      </c>
      <c r="G28" s="14">
        <v>19100.25</v>
      </c>
      <c r="H28" s="14">
        <v>19130.25</v>
      </c>
      <c r="I28" s="15">
        <f t="shared" si="0"/>
        <v>-77</v>
      </c>
      <c r="J28" s="16">
        <f t="shared" si="1"/>
        <v>-4.0124019697246032E-3</v>
      </c>
      <c r="K28" s="15">
        <f t="shared" si="2"/>
        <v>-90.25</v>
      </c>
      <c r="L28" s="16">
        <f t="shared" si="6"/>
        <v>-4.7028477632161747E-3</v>
      </c>
      <c r="M28" s="15">
        <f t="shared" si="3"/>
        <v>-60.25</v>
      </c>
      <c r="N28" s="16">
        <f t="shared" si="4"/>
        <v>-3.1395742685182771E-3</v>
      </c>
      <c r="O28" s="12" t="str" cm="1">
        <f t="array" ref="O28">_xlfn.IFS(I28&gt;0,"UP",I28&lt;0,"DOWN",I28=0,"FLAT")</f>
        <v>DOWN</v>
      </c>
      <c r="P28" s="12" t="str" cm="1">
        <f t="array" ref="P28">_xlfn.IFS(M28&gt;0,"UP",M28&lt;0,"DOWN",M28=0,"FLAT")</f>
        <v>DOWN</v>
      </c>
      <c r="Q28" s="12" t="str" cm="1">
        <f t="array" ref="Q28">_xlfn.IFS(O28=P28,"MATCH",O28&lt;&gt;P28,"NO")</f>
        <v>MATCH</v>
      </c>
      <c r="R28" s="12">
        <f>--ABS(D28)</f>
        <v>0.19999999999999973</v>
      </c>
      <c r="S28" s="16">
        <f t="shared" si="5"/>
        <v>4.0124019697246032E-3</v>
      </c>
    </row>
    <row r="29" spans="1:19">
      <c r="A29" s="13">
        <v>45272</v>
      </c>
      <c r="B29" s="12">
        <v>3.1</v>
      </c>
      <c r="C29" s="12">
        <v>3.1</v>
      </c>
      <c r="D29" s="12">
        <f>B29-C29</f>
        <v>0</v>
      </c>
      <c r="E29" s="14">
        <v>18686</v>
      </c>
      <c r="F29" s="14">
        <v>18645.25</v>
      </c>
      <c r="G29" s="14">
        <v>18468.25</v>
      </c>
      <c r="H29" s="14">
        <v>18742.25</v>
      </c>
      <c r="I29" s="15">
        <f t="shared" si="0"/>
        <v>-40.75</v>
      </c>
      <c r="J29" s="16">
        <f t="shared" si="1"/>
        <v>-2.1807770523386491E-3</v>
      </c>
      <c r="K29" s="15">
        <f t="shared" si="2"/>
        <v>-217.75</v>
      </c>
      <c r="L29" s="16">
        <f t="shared" si="6"/>
        <v>-1.1653109279674622E-2</v>
      </c>
      <c r="M29" s="15">
        <f t="shared" si="3"/>
        <v>56.25</v>
      </c>
      <c r="N29" s="16">
        <f t="shared" si="4"/>
        <v>3.0102750722466017E-3</v>
      </c>
      <c r="O29" s="12" t="str" cm="1">
        <f t="array" ref="O29">_xlfn.IFS(I29&gt;0,"UP",I29&lt;0,"DOWN",I29=0,"FLAT")</f>
        <v>DOWN</v>
      </c>
      <c r="P29" s="12" t="str" cm="1">
        <f t="array" ref="P29">_xlfn.IFS(M29&gt;0,"UP",M29&lt;0,"DOWN",M29=0,"FLAT")</f>
        <v>UP</v>
      </c>
      <c r="Q29" s="12" t="str" cm="1">
        <f t="array" ref="Q29">_xlfn.IFS(O29=P29,"MATCH",O29&lt;&gt;P29,"NO")</f>
        <v>NO</v>
      </c>
      <c r="R29" s="12">
        <f>--ABS(D29)</f>
        <v>0</v>
      </c>
      <c r="S29" s="16">
        <f t="shared" si="5"/>
        <v>2.1807770523386491E-3</v>
      </c>
    </row>
    <row r="30" spans="1:19">
      <c r="A30" s="13">
        <v>45244</v>
      </c>
      <c r="B30" s="12">
        <v>3.2</v>
      </c>
      <c r="C30" s="12">
        <v>3.3</v>
      </c>
      <c r="D30" s="12">
        <f>B30-C30</f>
        <v>-9.9999999999999645E-2</v>
      </c>
      <c r="E30" s="14">
        <v>17970.25</v>
      </c>
      <c r="F30" s="14">
        <v>18162.75</v>
      </c>
      <c r="G30" s="14">
        <v>18170</v>
      </c>
      <c r="H30" s="14">
        <v>18256.5</v>
      </c>
      <c r="I30" s="15">
        <f t="shared" si="0"/>
        <v>192.5</v>
      </c>
      <c r="J30" s="16">
        <f t="shared" si="1"/>
        <v>1.0712149246671581E-2</v>
      </c>
      <c r="K30" s="15">
        <f t="shared" si="2"/>
        <v>199.75</v>
      </c>
      <c r="L30" s="16">
        <f t="shared" si="6"/>
        <v>1.1115593828689083E-2</v>
      </c>
      <c r="M30" s="15">
        <f t="shared" si="3"/>
        <v>286.25</v>
      </c>
      <c r="N30" s="16">
        <f t="shared" si="4"/>
        <v>1.5929105048622029E-2</v>
      </c>
      <c r="O30" s="12" t="str" cm="1">
        <f t="array" ref="O30">_xlfn.IFS(I30&gt;0,"UP",I30&lt;0,"DOWN",I30=0,"FLAT")</f>
        <v>UP</v>
      </c>
      <c r="P30" s="12" t="str" cm="1">
        <f t="array" ref="P30">_xlfn.IFS(M30&gt;0,"UP",M30&lt;0,"DOWN",M30=0,"FLAT")</f>
        <v>UP</v>
      </c>
      <c r="Q30" s="12" t="str" cm="1">
        <f t="array" ref="Q30">_xlfn.IFS(O30=P30,"MATCH",O30&lt;&gt;P30,"NO")</f>
        <v>MATCH</v>
      </c>
      <c r="R30" s="12">
        <f>--ABS(D30)</f>
        <v>9.9999999999999645E-2</v>
      </c>
      <c r="S30" s="16">
        <f t="shared" si="5"/>
        <v>1.0712149246671581E-2</v>
      </c>
    </row>
    <row r="31" spans="1:19">
      <c r="A31" s="13">
        <v>45211</v>
      </c>
      <c r="B31" s="12">
        <v>3.7</v>
      </c>
      <c r="C31" s="12">
        <v>3.6</v>
      </c>
      <c r="D31" s="12">
        <f>B31-C31</f>
        <v>0.10000000000000009</v>
      </c>
      <c r="E31" s="14">
        <v>17821.5</v>
      </c>
      <c r="F31" s="14">
        <v>17767.75</v>
      </c>
      <c r="G31" s="14">
        <v>17770</v>
      </c>
      <c r="H31" s="14">
        <v>17693</v>
      </c>
      <c r="I31" s="15">
        <f t="shared" si="0"/>
        <v>-53.75</v>
      </c>
      <c r="J31" s="16">
        <f t="shared" si="1"/>
        <v>-3.0160199758718404E-3</v>
      </c>
      <c r="K31" s="15">
        <f t="shared" si="2"/>
        <v>-51.5</v>
      </c>
      <c r="L31" s="16">
        <f t="shared" si="6"/>
        <v>-2.8897679768818563E-3</v>
      </c>
      <c r="M31" s="15">
        <f t="shared" si="3"/>
        <v>-128.5</v>
      </c>
      <c r="N31" s="16">
        <f t="shared" si="4"/>
        <v>-7.2103919423168643E-3</v>
      </c>
      <c r="O31" s="12" t="str" cm="1">
        <f t="array" ref="O31">_xlfn.IFS(I31&gt;0,"UP",I31&lt;0,"DOWN",I31=0,"FLAT")</f>
        <v>DOWN</v>
      </c>
      <c r="P31" s="12" t="str" cm="1">
        <f t="array" ref="P31">_xlfn.IFS(M31&gt;0,"UP",M31&lt;0,"DOWN",M31=0,"FLAT")</f>
        <v>DOWN</v>
      </c>
      <c r="Q31" s="12" t="str" cm="1">
        <f t="array" ref="Q31">_xlfn.IFS(O31=P31,"MATCH",O31&lt;&gt;P31,"NO")</f>
        <v>MATCH</v>
      </c>
      <c r="R31" s="12">
        <f>--ABS(D31)</f>
        <v>0.10000000000000009</v>
      </c>
      <c r="S31" s="16">
        <f t="shared" si="5"/>
        <v>3.0160199758718404E-3</v>
      </c>
    </row>
    <row r="32" spans="1:19">
      <c r="A32" s="13">
        <v>45182</v>
      </c>
      <c r="B32" s="12">
        <v>3.7</v>
      </c>
      <c r="C32" s="12">
        <v>3.6</v>
      </c>
      <c r="D32" s="12">
        <f>B32-C32</f>
        <v>0.10000000000000009</v>
      </c>
      <c r="E32" s="14">
        <v>17866.75</v>
      </c>
      <c r="F32" s="14">
        <v>17836.25</v>
      </c>
      <c r="G32" s="14">
        <v>17841.25</v>
      </c>
      <c r="H32" s="14">
        <v>17932.25</v>
      </c>
      <c r="I32" s="15">
        <f t="shared" si="0"/>
        <v>-30.5</v>
      </c>
      <c r="J32" s="16">
        <f t="shared" si="1"/>
        <v>-1.7070815901045237E-3</v>
      </c>
      <c r="K32" s="15">
        <f t="shared" si="2"/>
        <v>-25.5</v>
      </c>
      <c r="L32" s="16">
        <f t="shared" si="6"/>
        <v>-1.4272321491037821E-3</v>
      </c>
      <c r="M32" s="15">
        <f t="shared" si="3"/>
        <v>65.5</v>
      </c>
      <c r="N32" s="16">
        <f t="shared" si="4"/>
        <v>3.6660276771097152E-3</v>
      </c>
      <c r="O32" s="12" t="str" cm="1">
        <f t="array" ref="O32">_xlfn.IFS(I32&gt;0,"UP",I32&lt;0,"DOWN",I32=0,"FLAT")</f>
        <v>DOWN</v>
      </c>
      <c r="P32" s="12" t="str" cm="1">
        <f t="array" ref="P32">_xlfn.IFS(M32&gt;0,"UP",M32&lt;0,"DOWN",M32=0,"FLAT")</f>
        <v>UP</v>
      </c>
      <c r="Q32" s="12" t="str" cm="1">
        <f t="array" ref="Q32">_xlfn.IFS(O32=P32,"MATCH",O32&lt;&gt;P32,"NO")</f>
        <v>NO</v>
      </c>
      <c r="R32" s="12">
        <f>--ABS(D32)</f>
        <v>0.10000000000000009</v>
      </c>
      <c r="S32" s="16">
        <f t="shared" si="5"/>
        <v>1.7070815901045237E-3</v>
      </c>
    </row>
    <row r="33" spans="1:19">
      <c r="A33" s="13">
        <v>45148</v>
      </c>
      <c r="B33" s="12">
        <v>3.2</v>
      </c>
      <c r="C33" s="12">
        <v>3.3</v>
      </c>
      <c r="D33" s="12">
        <f>B33-C33</f>
        <v>-9.9999999999999645E-2</v>
      </c>
      <c r="E33" s="14">
        <v>17864.75</v>
      </c>
      <c r="F33" s="14">
        <v>17871</v>
      </c>
      <c r="G33" s="14">
        <v>17846.5</v>
      </c>
      <c r="H33" s="14">
        <v>17776.75</v>
      </c>
      <c r="I33" s="15">
        <f t="shared" si="0"/>
        <v>6.25</v>
      </c>
      <c r="J33" s="16">
        <f t="shared" si="1"/>
        <v>3.4985096348955346E-4</v>
      </c>
      <c r="K33" s="15">
        <f t="shared" si="2"/>
        <v>-18.25</v>
      </c>
      <c r="L33" s="16">
        <f t="shared" si="6"/>
        <v>-1.0215648133894961E-3</v>
      </c>
      <c r="M33" s="15">
        <f t="shared" si="3"/>
        <v>-88</v>
      </c>
      <c r="N33" s="16">
        <f t="shared" si="4"/>
        <v>-4.9259015659329124E-3</v>
      </c>
      <c r="O33" s="12" t="str" cm="1">
        <f t="array" ref="O33">_xlfn.IFS(I33&gt;0,"UP",I33&lt;0,"DOWN",I33=0,"FLAT")</f>
        <v>UP</v>
      </c>
      <c r="P33" s="12" t="str" cm="1">
        <f t="array" ref="P33">_xlfn.IFS(M33&gt;0,"UP",M33&lt;0,"DOWN",M33=0,"FLAT")</f>
        <v>DOWN</v>
      </c>
      <c r="Q33" s="12" t="str" cm="1">
        <f t="array" ref="Q33">_xlfn.IFS(O33=P33,"MATCH",O33&lt;&gt;P33,"NO")</f>
        <v>NO</v>
      </c>
      <c r="R33" s="12">
        <f>--ABS(D33)</f>
        <v>9.9999999999999645E-2</v>
      </c>
      <c r="S33" s="16">
        <f t="shared" si="5"/>
        <v>3.4985096348955346E-4</v>
      </c>
    </row>
    <row r="34" spans="1:19">
      <c r="A34" s="13">
        <v>45119</v>
      </c>
      <c r="B34" s="12">
        <v>3</v>
      </c>
      <c r="C34" s="12">
        <v>3.1</v>
      </c>
      <c r="D34" s="12">
        <f>B34-C34</f>
        <v>-0.10000000000000009</v>
      </c>
      <c r="E34" s="14">
        <v>17888.75</v>
      </c>
      <c r="F34" s="14">
        <v>17986.5</v>
      </c>
      <c r="G34" s="14">
        <v>17976</v>
      </c>
      <c r="H34" s="14">
        <v>18028</v>
      </c>
      <c r="I34" s="15">
        <f t="shared" si="0"/>
        <v>97.75</v>
      </c>
      <c r="J34" s="16">
        <f t="shared" si="1"/>
        <v>5.4643281391936272E-3</v>
      </c>
      <c r="K34" s="15">
        <f t="shared" si="2"/>
        <v>87.25</v>
      </c>
      <c r="L34" s="16">
        <f t="shared" si="6"/>
        <v>4.8773670603032629E-3</v>
      </c>
      <c r="M34" s="15">
        <f t="shared" si="3"/>
        <v>139.25</v>
      </c>
      <c r="N34" s="16">
        <f t="shared" si="4"/>
        <v>7.784221927188876E-3</v>
      </c>
      <c r="O34" s="12" t="str" cm="1">
        <f t="array" ref="O34">_xlfn.IFS(I34&gt;0,"UP",I34&lt;0,"DOWN",I34=0,"FLAT")</f>
        <v>UP</v>
      </c>
      <c r="P34" s="12" t="str" cm="1">
        <f t="array" ref="P34">_xlfn.IFS(M34&gt;0,"UP",M34&lt;0,"DOWN",M34=0,"FLAT")</f>
        <v>UP</v>
      </c>
      <c r="Q34" s="12" t="str" cm="1">
        <f t="array" ref="Q34">_xlfn.IFS(O34=P34,"MATCH",O34&lt;&gt;P34,"NO")</f>
        <v>MATCH</v>
      </c>
      <c r="R34" s="12">
        <f>--ABS(D34)</f>
        <v>0.10000000000000009</v>
      </c>
      <c r="S34" s="16">
        <f t="shared" si="5"/>
        <v>5.4643281391936272E-3</v>
      </c>
    </row>
    <row r="35" spans="1:19">
      <c r="A35" s="13">
        <v>45090</v>
      </c>
      <c r="B35" s="12">
        <v>4</v>
      </c>
      <c r="C35" s="12">
        <v>4.0999999999999996</v>
      </c>
      <c r="D35" s="12">
        <f>B35-C35</f>
        <v>-9.9999999999999645E-2</v>
      </c>
      <c r="E35" s="14">
        <v>17617.75</v>
      </c>
      <c r="F35" s="14">
        <v>17628.75</v>
      </c>
      <c r="G35" s="14">
        <v>17676</v>
      </c>
      <c r="H35" s="14">
        <v>17672.75</v>
      </c>
      <c r="I35" s="15">
        <f t="shared" si="0"/>
        <v>11</v>
      </c>
      <c r="J35" s="16">
        <f t="shared" si="1"/>
        <v>6.2437030835379092E-4</v>
      </c>
      <c r="K35" s="15">
        <f t="shared" si="2"/>
        <v>58.25</v>
      </c>
      <c r="L35" s="16">
        <f t="shared" si="6"/>
        <v>3.3063245874189384E-3</v>
      </c>
      <c r="M35" s="15">
        <f t="shared" si="3"/>
        <v>55</v>
      </c>
      <c r="N35" s="16">
        <f t="shared" si="4"/>
        <v>3.1218515417689545E-3</v>
      </c>
      <c r="O35" s="12" t="str" cm="1">
        <f t="array" ref="O35">_xlfn.IFS(I35&gt;0,"UP",I35&lt;0,"DOWN",I35=0,"FLAT")</f>
        <v>UP</v>
      </c>
      <c r="P35" s="12" t="str" cm="1">
        <f t="array" ref="P35">_xlfn.IFS(M35&gt;0,"UP",M35&lt;0,"DOWN",M35=0,"FLAT")</f>
        <v>UP</v>
      </c>
      <c r="Q35" s="12" t="str" cm="1">
        <f t="array" ref="Q35">_xlfn.IFS(O35=P35,"MATCH",O35&lt;&gt;P35,"NO")</f>
        <v>MATCH</v>
      </c>
      <c r="R35" s="12">
        <f>--ABS(D35)</f>
        <v>9.9999999999999645E-2</v>
      </c>
      <c r="S35" s="16">
        <f t="shared" si="5"/>
        <v>6.2437030835379092E-4</v>
      </c>
    </row>
    <row r="36" spans="1:19">
      <c r="A36" s="13">
        <v>45056</v>
      </c>
      <c r="B36" s="12">
        <v>4.9000000000000004</v>
      </c>
      <c r="C36" s="12">
        <v>5</v>
      </c>
      <c r="D36" s="12">
        <f>B36-C36</f>
        <v>-9.9999999999999645E-2</v>
      </c>
      <c r="E36" s="14">
        <v>16022.75</v>
      </c>
      <c r="F36" s="14">
        <v>16077.5</v>
      </c>
      <c r="G36" s="14">
        <v>16139.5</v>
      </c>
      <c r="H36" s="14">
        <v>16173</v>
      </c>
      <c r="I36" s="15">
        <f t="shared" si="0"/>
        <v>54.75</v>
      </c>
      <c r="J36" s="16">
        <f t="shared" si="1"/>
        <v>3.4170164297639295E-3</v>
      </c>
      <c r="K36" s="15">
        <f t="shared" si="2"/>
        <v>116.75</v>
      </c>
      <c r="L36" s="16">
        <f t="shared" si="6"/>
        <v>7.2865144872134935E-3</v>
      </c>
      <c r="M36" s="15">
        <f t="shared" si="3"/>
        <v>150.25</v>
      </c>
      <c r="N36" s="16">
        <f t="shared" si="4"/>
        <v>9.3772916634160802E-3</v>
      </c>
      <c r="O36" s="12" t="str" cm="1">
        <f t="array" ref="O36">_xlfn.IFS(I36&gt;0,"UP",I36&lt;0,"DOWN",I36=0,"FLAT")</f>
        <v>UP</v>
      </c>
      <c r="P36" s="12" t="str" cm="1">
        <f t="array" ref="P36">_xlfn.IFS(M36&gt;0,"UP",M36&lt;0,"DOWN",M36=0,"FLAT")</f>
        <v>UP</v>
      </c>
      <c r="Q36" s="12" t="str" cm="1">
        <f t="array" ref="Q36">_xlfn.IFS(O36=P36,"MATCH",O36&lt;&gt;P36,"NO")</f>
        <v>MATCH</v>
      </c>
      <c r="R36" s="12">
        <f>--ABS(D36)</f>
        <v>9.9999999999999645E-2</v>
      </c>
      <c r="S36" s="16">
        <f t="shared" si="5"/>
        <v>3.4170164297639295E-3</v>
      </c>
    </row>
    <row r="37" spans="1:19">
      <c r="A37" s="13">
        <v>45028</v>
      </c>
      <c r="B37" s="12">
        <v>5</v>
      </c>
      <c r="C37" s="12">
        <v>5.0999999999999996</v>
      </c>
      <c r="D37" s="12">
        <f>B37-C37</f>
        <v>-9.9999999999999645E-2</v>
      </c>
      <c r="E37" s="14">
        <v>15815.25</v>
      </c>
      <c r="F37" s="14">
        <v>15992.25</v>
      </c>
      <c r="G37" s="14">
        <v>15959.25</v>
      </c>
      <c r="H37" s="14">
        <v>15721</v>
      </c>
      <c r="I37" s="15">
        <f t="shared" si="0"/>
        <v>177</v>
      </c>
      <c r="J37" s="16">
        <f t="shared" si="1"/>
        <v>1.1191729501588657E-2</v>
      </c>
      <c r="K37" s="15">
        <f t="shared" si="2"/>
        <v>144</v>
      </c>
      <c r="L37" s="16">
        <f t="shared" si="6"/>
        <v>9.1051358656992452E-3</v>
      </c>
      <c r="M37" s="15">
        <f t="shared" si="3"/>
        <v>-94.25</v>
      </c>
      <c r="N37" s="16">
        <f t="shared" si="4"/>
        <v>-5.9594378843205132E-3</v>
      </c>
      <c r="O37" s="12" t="str" cm="1">
        <f t="array" ref="O37">_xlfn.IFS(I37&gt;0,"UP",I37&lt;0,"DOWN",I37=0,"FLAT")</f>
        <v>UP</v>
      </c>
      <c r="P37" s="12" t="str" cm="1">
        <f t="array" ref="P37">_xlfn.IFS(M37&gt;0,"UP",M37&lt;0,"DOWN",M37=0,"FLAT")</f>
        <v>DOWN</v>
      </c>
      <c r="Q37" s="12" t="str" cm="1">
        <f t="array" ref="Q37">_xlfn.IFS(O37=P37,"MATCH",O37&lt;&gt;P37,"NO")</f>
        <v>NO</v>
      </c>
      <c r="R37" s="12">
        <f>--ABS(D37)</f>
        <v>9.9999999999999645E-2</v>
      </c>
      <c r="S37" s="16">
        <f t="shared" si="5"/>
        <v>1.1191729501588657E-2</v>
      </c>
    </row>
    <row r="38" spans="1:19">
      <c r="A38" s="13">
        <v>44999</v>
      </c>
      <c r="B38" s="12">
        <v>6</v>
      </c>
      <c r="C38" s="12">
        <v>6</v>
      </c>
      <c r="D38" s="12">
        <f>B38-C38</f>
        <v>0</v>
      </c>
      <c r="E38" s="14">
        <v>14913.25</v>
      </c>
      <c r="F38" s="14">
        <v>14890.75</v>
      </c>
      <c r="G38" s="14">
        <v>14918</v>
      </c>
      <c r="H38" s="14">
        <v>15091</v>
      </c>
      <c r="I38" s="15">
        <f t="shared" si="0"/>
        <v>-22.5</v>
      </c>
      <c r="J38" s="16">
        <f t="shared" si="1"/>
        <v>-1.508725462256718E-3</v>
      </c>
      <c r="K38" s="15">
        <f t="shared" si="2"/>
        <v>4.75</v>
      </c>
      <c r="L38" s="16">
        <f t="shared" si="6"/>
        <v>3.1850870869864047E-4</v>
      </c>
      <c r="M38" s="15">
        <f t="shared" si="3"/>
        <v>177.75</v>
      </c>
      <c r="N38" s="16">
        <f t="shared" si="4"/>
        <v>1.1918931151828072E-2</v>
      </c>
      <c r="O38" s="12" t="str" cm="1">
        <f t="array" ref="O38">_xlfn.IFS(I38&gt;0,"UP",I38&lt;0,"DOWN",I38=0,"FLAT")</f>
        <v>DOWN</v>
      </c>
      <c r="P38" s="12" t="str" cm="1">
        <f t="array" ref="P38">_xlfn.IFS(M38&gt;0,"UP",M38&lt;0,"DOWN",M38=0,"FLAT")</f>
        <v>UP</v>
      </c>
      <c r="Q38" s="12" t="str" cm="1">
        <f t="array" ref="Q38">_xlfn.IFS(O38=P38,"MATCH",O38&lt;&gt;P38,"NO")</f>
        <v>NO</v>
      </c>
      <c r="R38" s="12">
        <f>--ABS(D38)</f>
        <v>0</v>
      </c>
      <c r="S38" s="16">
        <f t="shared" si="5"/>
        <v>1.508725462256718E-3</v>
      </c>
    </row>
    <row r="39" spans="1:19">
      <c r="A39" s="13">
        <v>44971</v>
      </c>
      <c r="B39" s="12">
        <v>6.4</v>
      </c>
      <c r="C39" s="12">
        <v>6.2</v>
      </c>
      <c r="D39" s="12">
        <f>B39-C39</f>
        <v>0.20000000000000018</v>
      </c>
      <c r="E39" s="14">
        <v>15465.75</v>
      </c>
      <c r="F39" s="14">
        <v>15501.5</v>
      </c>
      <c r="G39" s="14">
        <v>15409.75</v>
      </c>
      <c r="H39" s="14">
        <v>15516.5</v>
      </c>
      <c r="I39" s="15">
        <f t="shared" si="0"/>
        <v>35.75</v>
      </c>
      <c r="J39" s="16">
        <f t="shared" si="1"/>
        <v>2.3115594135428284E-3</v>
      </c>
      <c r="K39" s="15">
        <f t="shared" si="2"/>
        <v>-56</v>
      </c>
      <c r="L39" s="16">
        <f t="shared" si="6"/>
        <v>-3.6209042561789759E-3</v>
      </c>
      <c r="M39" s="15">
        <f t="shared" si="3"/>
        <v>50.75</v>
      </c>
      <c r="N39" s="16">
        <f t="shared" si="4"/>
        <v>3.281444482162197E-3</v>
      </c>
      <c r="O39" s="12" t="str" cm="1">
        <f t="array" ref="O39">_xlfn.IFS(I39&gt;0,"UP",I39&lt;0,"DOWN",I39=0,"FLAT")</f>
        <v>UP</v>
      </c>
      <c r="P39" s="12" t="str" cm="1">
        <f t="array" ref="P39">_xlfn.IFS(M39&gt;0,"UP",M39&lt;0,"DOWN",M39=0,"FLAT")</f>
        <v>UP</v>
      </c>
      <c r="Q39" s="12" t="str" cm="1">
        <f t="array" ref="Q39">_xlfn.IFS(O39=P39,"MATCH",O39&lt;&gt;P39,"NO")</f>
        <v>MATCH</v>
      </c>
      <c r="R39" s="12">
        <f>--ABS(D39)</f>
        <v>0.20000000000000018</v>
      </c>
      <c r="S39" s="16">
        <f t="shared" si="5"/>
        <v>2.3115594135428284E-3</v>
      </c>
    </row>
    <row r="40" spans="1:19">
      <c r="A40" s="13">
        <v>44938</v>
      </c>
      <c r="B40" s="12">
        <v>6.5</v>
      </c>
      <c r="C40" s="12">
        <v>6.5</v>
      </c>
      <c r="D40" s="12">
        <f>B40-C40</f>
        <v>0</v>
      </c>
      <c r="E40" s="14">
        <v>14278.75</v>
      </c>
      <c r="F40" s="14">
        <v>14351.5</v>
      </c>
      <c r="G40" s="14">
        <v>14301.25</v>
      </c>
      <c r="H40" s="14">
        <v>14418</v>
      </c>
      <c r="I40" s="15">
        <f t="shared" si="0"/>
        <v>72.75</v>
      </c>
      <c r="J40" s="16">
        <f t="shared" si="1"/>
        <v>5.0949838046047448E-3</v>
      </c>
      <c r="K40" s="15">
        <f t="shared" si="2"/>
        <v>22.5</v>
      </c>
      <c r="L40" s="16">
        <f t="shared" si="6"/>
        <v>1.5757681869911582E-3</v>
      </c>
      <c r="M40" s="15">
        <f t="shared" si="3"/>
        <v>139.25</v>
      </c>
      <c r="N40" s="16">
        <f t="shared" si="4"/>
        <v>9.7522542239341682E-3</v>
      </c>
      <c r="O40" s="12" t="str" cm="1">
        <f t="array" ref="O40">_xlfn.IFS(I40&gt;0,"UP",I40&lt;0,"DOWN",I40=0,"FLAT")</f>
        <v>UP</v>
      </c>
      <c r="P40" s="12" t="str" cm="1">
        <f t="array" ref="P40">_xlfn.IFS(M40&gt;0,"UP",M40&lt;0,"DOWN",M40=0,"FLAT")</f>
        <v>UP</v>
      </c>
      <c r="Q40" s="12" t="str" cm="1">
        <f t="array" ref="Q40">_xlfn.IFS(O40=P40,"MATCH",O40&lt;&gt;P40,"NO")</f>
        <v>MATCH</v>
      </c>
      <c r="R40" s="12">
        <f>--ABS(D40)</f>
        <v>0</v>
      </c>
      <c r="S40" s="16">
        <f t="shared" si="5"/>
        <v>5.0949838046047448E-3</v>
      </c>
    </row>
    <row r="41" spans="1:19">
      <c r="A41" s="13">
        <v>44908</v>
      </c>
      <c r="B41" s="12">
        <v>7.1</v>
      </c>
      <c r="C41" s="12">
        <v>7.3</v>
      </c>
      <c r="D41" s="12">
        <f>B41-C41</f>
        <v>-0.20000000000000018</v>
      </c>
      <c r="E41" s="14">
        <v>14998</v>
      </c>
      <c r="F41" s="14">
        <v>15045</v>
      </c>
      <c r="G41" s="14">
        <v>15163.75</v>
      </c>
      <c r="H41" s="14">
        <v>14844.75</v>
      </c>
      <c r="I41" s="15">
        <f t="shared" si="0"/>
        <v>47</v>
      </c>
      <c r="J41" s="16">
        <f t="shared" si="1"/>
        <v>3.1337511668222428E-3</v>
      </c>
      <c r="K41" s="15">
        <f t="shared" si="2"/>
        <v>165.75</v>
      </c>
      <c r="L41" s="16">
        <f t="shared" si="6"/>
        <v>1.1051473529803974E-2</v>
      </c>
      <c r="M41" s="15">
        <f t="shared" si="3"/>
        <v>-153.25</v>
      </c>
      <c r="N41" s="16">
        <f t="shared" si="4"/>
        <v>-1.0218029070542738E-2</v>
      </c>
      <c r="O41" s="12" t="str" cm="1">
        <f t="array" ref="O41">_xlfn.IFS(I41&gt;0,"UP",I41&lt;0,"DOWN",I41=0,"FLAT")</f>
        <v>UP</v>
      </c>
      <c r="P41" s="12" t="str" cm="1">
        <f t="array" ref="P41">_xlfn.IFS(M41&gt;0,"UP",M41&lt;0,"DOWN",M41=0,"FLAT")</f>
        <v>DOWN</v>
      </c>
      <c r="Q41" s="12" t="str" cm="1">
        <f t="array" ref="Q41">_xlfn.IFS(O41=P41,"MATCH",O41&lt;&gt;P41,"NO")</f>
        <v>NO</v>
      </c>
      <c r="R41" s="12">
        <f>--ABS(D41)</f>
        <v>0.20000000000000018</v>
      </c>
      <c r="S41" s="16">
        <f t="shared" si="5"/>
        <v>3.1337511668222428E-3</v>
      </c>
    </row>
    <row r="42" spans="1:19">
      <c r="A42" s="13">
        <v>44875</v>
      </c>
      <c r="B42" s="12">
        <v>7.7</v>
      </c>
      <c r="C42" s="12">
        <v>7.9</v>
      </c>
      <c r="D42" s="12">
        <f>B42-C42</f>
        <v>-0.20000000000000018</v>
      </c>
      <c r="E42" s="14">
        <v>13882.75</v>
      </c>
      <c r="F42" s="14">
        <v>14194.75</v>
      </c>
      <c r="G42" s="14">
        <v>14263.75</v>
      </c>
      <c r="H42" s="14">
        <v>14632.5</v>
      </c>
      <c r="I42" s="15">
        <f t="shared" si="0"/>
        <v>312</v>
      </c>
      <c r="J42" s="16">
        <f t="shared" si="1"/>
        <v>2.2473933478597542E-2</v>
      </c>
      <c r="K42" s="15">
        <f t="shared" si="2"/>
        <v>381</v>
      </c>
      <c r="L42" s="16">
        <f t="shared" si="6"/>
        <v>2.7444130305595074E-2</v>
      </c>
      <c r="M42" s="15">
        <f t="shared" si="3"/>
        <v>749.75</v>
      </c>
      <c r="N42" s="16">
        <f t="shared" si="4"/>
        <v>5.4005870594802906E-2</v>
      </c>
      <c r="O42" s="12" t="str" cm="1">
        <f t="array" ref="O42">_xlfn.IFS(I42&gt;0,"UP",I42&lt;0,"DOWN",I42=0,"FLAT")</f>
        <v>UP</v>
      </c>
      <c r="P42" s="12" t="str" cm="1">
        <f t="array" ref="P42">_xlfn.IFS(M42&gt;0,"UP",M42&lt;0,"DOWN",M42=0,"FLAT")</f>
        <v>UP</v>
      </c>
      <c r="Q42" s="12" t="str" cm="1">
        <f t="array" ref="Q42">_xlfn.IFS(O42=P42,"MATCH",O42&lt;&gt;P42,"NO")</f>
        <v>MATCH</v>
      </c>
      <c r="R42" s="12">
        <f>--ABS(D42)</f>
        <v>0.20000000000000018</v>
      </c>
      <c r="S42" s="16">
        <f t="shared" si="5"/>
        <v>2.2473933478597542E-2</v>
      </c>
    </row>
    <row r="43" spans="1:19">
      <c r="A43" s="13">
        <v>44847</v>
      </c>
      <c r="B43" s="12">
        <v>8.1999999999999993</v>
      </c>
      <c r="C43" s="12">
        <v>8.1</v>
      </c>
      <c r="D43" s="12">
        <f>B43-C43</f>
        <v>9.9999999999999645E-2</v>
      </c>
      <c r="E43" s="14">
        <v>13936.25</v>
      </c>
      <c r="F43" s="14">
        <v>13543</v>
      </c>
      <c r="G43" s="14">
        <v>13536</v>
      </c>
      <c r="H43" s="14">
        <v>14085</v>
      </c>
      <c r="I43" s="15">
        <f t="shared" si="0"/>
        <v>-393.25</v>
      </c>
      <c r="J43" s="16">
        <f t="shared" si="1"/>
        <v>-2.8217777379137141E-2</v>
      </c>
      <c r="K43" s="15">
        <f t="shared" si="2"/>
        <v>-400.25</v>
      </c>
      <c r="L43" s="16">
        <f t="shared" si="6"/>
        <v>-2.872006457978294E-2</v>
      </c>
      <c r="M43" s="15">
        <f t="shared" si="3"/>
        <v>148.75</v>
      </c>
      <c r="N43" s="16">
        <f t="shared" si="4"/>
        <v>1.0673603013723203E-2</v>
      </c>
      <c r="O43" s="12" t="str" cm="1">
        <f t="array" ref="O43">_xlfn.IFS(I43&gt;0,"UP",I43&lt;0,"DOWN",I43=0,"FLAT")</f>
        <v>DOWN</v>
      </c>
      <c r="P43" s="12" t="str" cm="1">
        <f t="array" ref="P43">_xlfn.IFS(M43&gt;0,"UP",M43&lt;0,"DOWN",M43=0,"FLAT")</f>
        <v>UP</v>
      </c>
      <c r="Q43" s="12" t="str" cm="1">
        <f t="array" ref="Q43">_xlfn.IFS(O43=P43,"MATCH",O43&lt;&gt;P43,"NO")</f>
        <v>NO</v>
      </c>
      <c r="R43" s="12">
        <f>--ABS(D43)</f>
        <v>9.9999999999999645E-2</v>
      </c>
      <c r="S43" s="16">
        <f t="shared" si="5"/>
        <v>2.8217777379137141E-2</v>
      </c>
    </row>
    <row r="44" spans="1:19">
      <c r="A44" s="13">
        <v>44817</v>
      </c>
      <c r="B44" s="12">
        <v>8.3000000000000007</v>
      </c>
      <c r="C44" s="12">
        <v>8.1</v>
      </c>
      <c r="D44" s="12">
        <f>B44-C44</f>
        <v>0.20000000000000107</v>
      </c>
      <c r="E44" s="14">
        <v>15926.75</v>
      </c>
      <c r="F44" s="14">
        <v>15597.25</v>
      </c>
      <c r="G44" s="14">
        <v>15532.25</v>
      </c>
      <c r="H44" s="14">
        <v>15123.5</v>
      </c>
      <c r="I44" s="15">
        <f t="shared" si="0"/>
        <v>-329.5</v>
      </c>
      <c r="J44" s="16">
        <f t="shared" si="1"/>
        <v>-2.0688464375971244E-2</v>
      </c>
      <c r="K44" s="15">
        <f t="shared" si="2"/>
        <v>-394.5</v>
      </c>
      <c r="L44" s="16">
        <f t="shared" si="6"/>
        <v>-2.4769648547255402E-2</v>
      </c>
      <c r="M44" s="15">
        <f t="shared" si="3"/>
        <v>-803.25</v>
      </c>
      <c r="N44" s="16">
        <f t="shared" si="4"/>
        <v>-5.0434018239753874E-2</v>
      </c>
      <c r="O44" s="12" t="str" cm="1">
        <f t="array" ref="O44">_xlfn.IFS(I44&gt;0,"UP",I44&lt;0,"DOWN",I44=0,"FLAT")</f>
        <v>DOWN</v>
      </c>
      <c r="P44" s="12" t="str" cm="1">
        <f t="array" ref="P44">_xlfn.IFS(M44&gt;0,"UP",M44&lt;0,"DOWN",M44=0,"FLAT")</f>
        <v>DOWN</v>
      </c>
      <c r="Q44" s="12" t="str" cm="1">
        <f t="array" ref="Q44">_xlfn.IFS(O44=P44,"MATCH",O44&lt;&gt;P44,"NO")</f>
        <v>MATCH</v>
      </c>
      <c r="R44" s="12">
        <f>--ABS(D44)</f>
        <v>0.20000000000000107</v>
      </c>
      <c r="S44" s="16">
        <f t="shared" si="5"/>
        <v>2.0688464375971244E-2</v>
      </c>
    </row>
    <row r="45" spans="1:19">
      <c r="A45" s="13">
        <v>44783</v>
      </c>
      <c r="B45" s="12">
        <v>8.5</v>
      </c>
      <c r="C45" s="12">
        <v>8.6999999999999993</v>
      </c>
      <c r="D45" s="12">
        <f>B45-C45</f>
        <v>-0.19999999999999929</v>
      </c>
      <c r="E45" s="14">
        <v>16178.25</v>
      </c>
      <c r="F45" s="14">
        <v>16415</v>
      </c>
      <c r="G45" s="14">
        <v>16429.25</v>
      </c>
      <c r="H45" s="14">
        <v>16480</v>
      </c>
      <c r="I45" s="15">
        <f t="shared" si="0"/>
        <v>236.75</v>
      </c>
      <c r="J45" s="16">
        <f t="shared" si="1"/>
        <v>1.4633844822524068E-2</v>
      </c>
      <c r="K45" s="15">
        <f t="shared" si="2"/>
        <v>251</v>
      </c>
      <c r="L45" s="16">
        <f t="shared" si="6"/>
        <v>1.5514657024090986E-2</v>
      </c>
      <c r="M45" s="15">
        <f t="shared" si="3"/>
        <v>301.75</v>
      </c>
      <c r="N45" s="16">
        <f t="shared" si="4"/>
        <v>1.8651584689320537E-2</v>
      </c>
      <c r="O45" s="12" t="str" cm="1">
        <f t="array" ref="O45">_xlfn.IFS(I45&gt;0,"UP",I45&lt;0,"DOWN",I45=0,"FLAT")</f>
        <v>UP</v>
      </c>
      <c r="P45" s="12" t="str" cm="1">
        <f t="array" ref="P45">_xlfn.IFS(M45&gt;0,"UP",M45&lt;0,"DOWN",M45=0,"FLAT")</f>
        <v>UP</v>
      </c>
      <c r="Q45" s="12" t="str" cm="1">
        <f t="array" ref="Q45">_xlfn.IFS(O45=P45,"MATCH",O45&lt;&gt;P45,"NO")</f>
        <v>MATCH</v>
      </c>
      <c r="R45" s="12">
        <f>--ABS(D45)</f>
        <v>0.19999999999999929</v>
      </c>
      <c r="S45" s="16">
        <f t="shared" si="5"/>
        <v>1.4633844822524068E-2</v>
      </c>
    </row>
    <row r="46" spans="1:19">
      <c r="A46" s="13">
        <v>44755</v>
      </c>
      <c r="B46" s="12">
        <v>9.1</v>
      </c>
      <c r="C46" s="12">
        <v>8.6999999999999993</v>
      </c>
      <c r="D46" s="12">
        <f>B46-C46</f>
        <v>0.40000000000000036</v>
      </c>
      <c r="E46" s="14">
        <v>15008</v>
      </c>
      <c r="F46" s="14">
        <v>14618</v>
      </c>
      <c r="G46" s="14">
        <v>14601.75</v>
      </c>
      <c r="H46" s="14">
        <v>14842</v>
      </c>
      <c r="I46" s="15">
        <f t="shared" si="0"/>
        <v>-390</v>
      </c>
      <c r="J46" s="16">
        <f t="shared" si="1"/>
        <v>-2.5986140724946694E-2</v>
      </c>
      <c r="K46" s="15">
        <f t="shared" si="2"/>
        <v>-406.25</v>
      </c>
      <c r="L46" s="16">
        <f t="shared" si="6"/>
        <v>-2.706889658848614E-2</v>
      </c>
      <c r="M46" s="15">
        <f t="shared" si="3"/>
        <v>-166</v>
      </c>
      <c r="N46" s="16">
        <f t="shared" si="4"/>
        <v>-1.1060767590618336E-2</v>
      </c>
      <c r="O46" s="12" t="str" cm="1">
        <f t="array" ref="O46">_xlfn.IFS(I46&gt;0,"UP",I46&lt;0,"DOWN",I46=0,"FLAT")</f>
        <v>DOWN</v>
      </c>
      <c r="P46" s="12" t="str" cm="1">
        <f t="array" ref="P46">_xlfn.IFS(M46&gt;0,"UP",M46&lt;0,"DOWN",M46=0,"FLAT")</f>
        <v>DOWN</v>
      </c>
      <c r="Q46" s="12" t="str" cm="1">
        <f t="array" ref="Q46">_xlfn.IFS(O46=P46,"MATCH",O46&lt;&gt;P46,"NO")</f>
        <v>MATCH</v>
      </c>
      <c r="R46" s="12">
        <f>--ABS(D46)</f>
        <v>0.40000000000000036</v>
      </c>
      <c r="S46" s="16">
        <f t="shared" si="5"/>
        <v>2.5986140724946694E-2</v>
      </c>
    </row>
    <row r="47" spans="1:19">
      <c r="A47" s="13">
        <v>44722</v>
      </c>
      <c r="B47" s="12">
        <v>8.6</v>
      </c>
      <c r="C47" s="12">
        <v>8.3000000000000007</v>
      </c>
      <c r="D47" s="12">
        <f>B47-C47</f>
        <v>0.29999999999999893</v>
      </c>
      <c r="E47" s="14">
        <v>15419.75</v>
      </c>
      <c r="F47" s="14">
        <v>15181.75</v>
      </c>
      <c r="G47" s="14">
        <v>15218.25</v>
      </c>
      <c r="H47" s="14">
        <v>14954.5</v>
      </c>
      <c r="I47" s="15">
        <f t="shared" si="0"/>
        <v>-238</v>
      </c>
      <c r="J47" s="16">
        <f t="shared" si="1"/>
        <v>-1.5434750887660305E-2</v>
      </c>
      <c r="K47" s="15">
        <f t="shared" si="2"/>
        <v>-201.5</v>
      </c>
      <c r="L47" s="16">
        <f t="shared" si="6"/>
        <v>-1.3067656738922486E-2</v>
      </c>
      <c r="M47" s="15">
        <f t="shared" si="3"/>
        <v>-465.25</v>
      </c>
      <c r="N47" s="16">
        <f t="shared" si="4"/>
        <v>-3.0172343909596458E-2</v>
      </c>
      <c r="O47" s="12" t="str" cm="1">
        <f t="array" ref="O47">_xlfn.IFS(I47&gt;0,"UP",I47&lt;0,"DOWN",I47=0,"FLAT")</f>
        <v>DOWN</v>
      </c>
      <c r="P47" s="12" t="str" cm="1">
        <f t="array" ref="P47">_xlfn.IFS(M47&gt;0,"UP",M47&lt;0,"DOWN",M47=0,"FLAT")</f>
        <v>DOWN</v>
      </c>
      <c r="Q47" s="12" t="str" cm="1">
        <f t="array" ref="Q47">_xlfn.IFS(O47=P47,"MATCH",O47&lt;&gt;P47,"NO")</f>
        <v>MATCH</v>
      </c>
      <c r="R47" s="12">
        <f>--ABS(D47)</f>
        <v>0.29999999999999893</v>
      </c>
      <c r="S47" s="16">
        <f t="shared" si="5"/>
        <v>1.5434750887660305E-2</v>
      </c>
    </row>
    <row r="48" spans="1:19">
      <c r="A48" s="13">
        <v>44692</v>
      </c>
      <c r="B48" s="12">
        <v>8.3000000000000007</v>
      </c>
      <c r="C48" s="12">
        <v>8.1</v>
      </c>
      <c r="D48" s="12">
        <f>B48-C48</f>
        <v>0.20000000000000107</v>
      </c>
      <c r="E48" s="14">
        <v>15577.5</v>
      </c>
      <c r="F48" s="14">
        <v>15415.25</v>
      </c>
      <c r="G48" s="14">
        <v>15335.25</v>
      </c>
      <c r="H48" s="14">
        <v>15092.25</v>
      </c>
      <c r="I48" s="15">
        <f t="shared" si="0"/>
        <v>-162.25</v>
      </c>
      <c r="J48" s="16">
        <f t="shared" si="1"/>
        <v>-1.0415663617396886E-2</v>
      </c>
      <c r="K48" s="15">
        <f t="shared" si="2"/>
        <v>-242.25</v>
      </c>
      <c r="L48" s="16">
        <f t="shared" si="6"/>
        <v>-1.555127587867116E-2</v>
      </c>
      <c r="M48" s="15">
        <f t="shared" si="3"/>
        <v>-485.25</v>
      </c>
      <c r="N48" s="16">
        <f t="shared" si="4"/>
        <v>-3.1150698122291768E-2</v>
      </c>
      <c r="O48" s="12" t="str" cm="1">
        <f t="array" ref="O48">_xlfn.IFS(I48&gt;0,"UP",I48&lt;0,"DOWN",I48=0,"FLAT")</f>
        <v>DOWN</v>
      </c>
      <c r="P48" s="12" t="str" cm="1">
        <f t="array" ref="P48">_xlfn.IFS(M48&gt;0,"UP",M48&lt;0,"DOWN",M48=0,"FLAT")</f>
        <v>DOWN</v>
      </c>
      <c r="Q48" s="12" t="str" cm="1">
        <f t="array" ref="Q48">_xlfn.IFS(O48=P48,"MATCH",O48&lt;&gt;P48,"NO")</f>
        <v>MATCH</v>
      </c>
      <c r="R48" s="12">
        <f>--ABS(D48)</f>
        <v>0.20000000000000107</v>
      </c>
      <c r="S48" s="16">
        <f t="shared" si="5"/>
        <v>1.0415663617396886E-2</v>
      </c>
    </row>
    <row r="49" spans="1:19">
      <c r="A49" s="13">
        <v>44663</v>
      </c>
      <c r="B49" s="12">
        <v>8.5</v>
      </c>
      <c r="C49" s="12">
        <v>8.4</v>
      </c>
      <c r="D49" s="12">
        <f>B49-C49</f>
        <v>9.9999999999999645E-2</v>
      </c>
      <c r="E49" s="14">
        <v>17161</v>
      </c>
      <c r="F49" s="14">
        <v>17316.25</v>
      </c>
      <c r="G49" s="14">
        <v>17345.5</v>
      </c>
      <c r="H49" s="14">
        <v>17059.25</v>
      </c>
      <c r="I49" s="15">
        <f t="shared" si="0"/>
        <v>155.25</v>
      </c>
      <c r="J49" s="16">
        <f t="shared" si="1"/>
        <v>9.0466756016549157E-3</v>
      </c>
      <c r="K49" s="15">
        <f t="shared" si="2"/>
        <v>184.5</v>
      </c>
      <c r="L49" s="16">
        <f t="shared" si="6"/>
        <v>1.0751121729502943E-2</v>
      </c>
      <c r="M49" s="15">
        <f t="shared" si="3"/>
        <v>-101.75</v>
      </c>
      <c r="N49" s="16">
        <f t="shared" si="4"/>
        <v>-5.9291416584115143E-3</v>
      </c>
      <c r="O49" s="12" t="str" cm="1">
        <f t="array" ref="O49">_xlfn.IFS(I49&gt;0,"UP",I49&lt;0,"DOWN",I49=0,"FLAT")</f>
        <v>UP</v>
      </c>
      <c r="P49" s="12" t="str" cm="1">
        <f t="array" ref="P49">_xlfn.IFS(M49&gt;0,"UP",M49&lt;0,"DOWN",M49=0,"FLAT")</f>
        <v>DOWN</v>
      </c>
      <c r="Q49" s="12" t="str" cm="1">
        <f t="array" ref="Q49">_xlfn.IFS(O49=P49,"MATCH",O49&lt;&gt;P49,"NO")</f>
        <v>NO</v>
      </c>
      <c r="R49" s="12">
        <f>--ABS(D49)</f>
        <v>9.9999999999999645E-2</v>
      </c>
      <c r="S49" s="16">
        <f t="shared" si="5"/>
        <v>9.0466756016549157E-3</v>
      </c>
    </row>
    <row r="50" spans="1:19">
      <c r="A50" s="13">
        <v>44630</v>
      </c>
      <c r="B50" s="12">
        <v>7.9</v>
      </c>
      <c r="C50" s="12">
        <v>7.9</v>
      </c>
      <c r="D50" s="12">
        <f>B50-C50</f>
        <v>0</v>
      </c>
      <c r="E50" s="14">
        <v>16660.25</v>
      </c>
      <c r="F50" s="14">
        <v>16724.75</v>
      </c>
      <c r="G50" s="14">
        <v>16676.75</v>
      </c>
      <c r="H50" s="14">
        <v>16707.25</v>
      </c>
      <c r="I50" s="15">
        <f t="shared" si="0"/>
        <v>64.5</v>
      </c>
      <c r="J50" s="16">
        <f t="shared" si="1"/>
        <v>3.871490523851683E-3</v>
      </c>
      <c r="K50" s="15">
        <f t="shared" si="2"/>
        <v>16.5</v>
      </c>
      <c r="L50" s="16">
        <f t="shared" si="6"/>
        <v>9.903812967992677E-4</v>
      </c>
      <c r="M50" s="15">
        <f t="shared" si="3"/>
        <v>47</v>
      </c>
      <c r="N50" s="16">
        <f t="shared" si="4"/>
        <v>2.8210861181554897E-3</v>
      </c>
      <c r="O50" s="12" t="str" cm="1">
        <f t="array" ref="O50">_xlfn.IFS(I50&gt;0,"UP",I50&lt;0,"DOWN",I50=0,"FLAT")</f>
        <v>UP</v>
      </c>
      <c r="P50" s="12" t="str" cm="1">
        <f t="array" ref="P50">_xlfn.IFS(M50&gt;0,"UP",M50&lt;0,"DOWN",M50=0,"FLAT")</f>
        <v>UP</v>
      </c>
      <c r="Q50" s="12" t="str" cm="1">
        <f t="array" ref="Q50">_xlfn.IFS(O50=P50,"MATCH",O50&lt;&gt;P50,"NO")</f>
        <v>MATCH</v>
      </c>
      <c r="R50" s="12">
        <f>--ABS(D50)</f>
        <v>0</v>
      </c>
      <c r="S50" s="16">
        <f t="shared" si="5"/>
        <v>3.871490523851683E-3</v>
      </c>
    </row>
    <row r="51" spans="1:19">
      <c r="A51" s="13">
        <v>44602</v>
      </c>
      <c r="B51" s="12">
        <v>7.5</v>
      </c>
      <c r="C51" s="12">
        <v>7.2</v>
      </c>
      <c r="D51" s="12">
        <f>B51-C51</f>
        <v>0.29999999999999982</v>
      </c>
      <c r="E51" s="14">
        <v>18144.25</v>
      </c>
      <c r="F51" s="14">
        <v>17960.75</v>
      </c>
      <c r="G51" s="14">
        <v>17959.75</v>
      </c>
      <c r="H51" s="14">
        <v>17819</v>
      </c>
      <c r="I51" s="15">
        <f t="shared" si="0"/>
        <v>-183.5</v>
      </c>
      <c r="J51" s="16">
        <f t="shared" si="1"/>
        <v>-1.0113396806150709E-2</v>
      </c>
      <c r="K51" s="15">
        <f t="shared" si="2"/>
        <v>-184.5</v>
      </c>
      <c r="L51" s="16">
        <f t="shared" si="6"/>
        <v>-1.0168510685203301E-2</v>
      </c>
      <c r="M51" s="15">
        <f t="shared" si="3"/>
        <v>-325.25</v>
      </c>
      <c r="N51" s="16">
        <f t="shared" si="4"/>
        <v>-1.7925789161855683E-2</v>
      </c>
      <c r="O51" s="12" t="str" cm="1">
        <f t="array" ref="O51">_xlfn.IFS(I51&gt;0,"UP",I51&lt;0,"DOWN",I51=0,"FLAT")</f>
        <v>DOWN</v>
      </c>
      <c r="P51" s="12" t="str" cm="1">
        <f t="array" ref="P51">_xlfn.IFS(M51&gt;0,"UP",M51&lt;0,"DOWN",M51=0,"FLAT")</f>
        <v>DOWN</v>
      </c>
      <c r="Q51" s="12" t="str" cm="1">
        <f t="array" ref="Q51">_xlfn.IFS(O51=P51,"MATCH",O51&lt;&gt;P51,"NO")</f>
        <v>MATCH</v>
      </c>
      <c r="R51" s="12">
        <f>--ABS(D51)</f>
        <v>0.29999999999999982</v>
      </c>
      <c r="S51" s="16">
        <f t="shared" si="5"/>
        <v>1.0113396806150709E-2</v>
      </c>
    </row>
    <row r="52" spans="1:19">
      <c r="A52" s="13">
        <v>44573</v>
      </c>
      <c r="B52" s="12">
        <v>7</v>
      </c>
      <c r="C52" s="12">
        <v>7</v>
      </c>
      <c r="D52" s="12">
        <f>B52-C52</f>
        <v>0</v>
      </c>
      <c r="E52" s="14">
        <v>19000</v>
      </c>
      <c r="F52" s="14">
        <v>19010.25</v>
      </c>
      <c r="G52" s="14">
        <v>19077</v>
      </c>
      <c r="H52" s="14">
        <v>19011.25</v>
      </c>
      <c r="I52" s="15">
        <f t="shared" si="0"/>
        <v>10.25</v>
      </c>
      <c r="J52" s="16">
        <f t="shared" si="1"/>
        <v>5.3947368421052629E-4</v>
      </c>
      <c r="K52" s="15">
        <f t="shared" si="2"/>
        <v>77</v>
      </c>
      <c r="L52" s="16">
        <f t="shared" si="6"/>
        <v>4.0526315789473685E-3</v>
      </c>
      <c r="M52" s="15">
        <f t="shared" si="3"/>
        <v>11.25</v>
      </c>
      <c r="N52" s="16">
        <f t="shared" si="4"/>
        <v>5.9210526315789478E-4</v>
      </c>
      <c r="O52" s="12" t="str" cm="1">
        <f t="array" ref="O52">_xlfn.IFS(I52&gt;0,"UP",I52&lt;0,"DOWN",I52=0,"FLAT")</f>
        <v>UP</v>
      </c>
      <c r="P52" s="12" t="str" cm="1">
        <f t="array" ref="P52">_xlfn.IFS(M52&gt;0,"UP",M52&lt;0,"DOWN",M52=0,"FLAT")</f>
        <v>UP</v>
      </c>
      <c r="Q52" s="12" t="str" cm="1">
        <f t="array" ref="Q52">_xlfn.IFS(O52=P52,"MATCH",O52&lt;&gt;P52,"NO")</f>
        <v>MATCH</v>
      </c>
      <c r="R52" s="12">
        <f>--ABS(D52)</f>
        <v>0</v>
      </c>
      <c r="S52" s="16">
        <f t="shared" si="5"/>
        <v>5.3947368421052629E-4</v>
      </c>
    </row>
    <row r="53" spans="1:19">
      <c r="E53" s="14"/>
      <c r="F53" s="14"/>
      <c r="G53" s="14"/>
      <c r="H53" s="14"/>
    </row>
    <row r="54" spans="1:19">
      <c r="E54" s="14"/>
      <c r="F54" s="14"/>
      <c r="G54" s="14"/>
      <c r="H54" s="14"/>
    </row>
    <row r="55" spans="1:19">
      <c r="E55" s="16"/>
      <c r="F55" s="14"/>
      <c r="G55" s="14"/>
      <c r="H55" s="14"/>
      <c r="R55" s="15"/>
    </row>
    <row r="56" spans="1:19">
      <c r="E56" s="14"/>
      <c r="F56" s="14"/>
      <c r="G56" s="14"/>
      <c r="H56" s="14"/>
      <c r="I56" s="14"/>
      <c r="J56" s="14"/>
    </row>
    <row r="57" spans="1:19">
      <c r="E57" s="14"/>
      <c r="F57" s="14"/>
      <c r="G57" s="14"/>
      <c r="H57" s="14"/>
    </row>
    <row r="58" spans="1:19">
      <c r="E58" s="14"/>
      <c r="F58" s="14"/>
      <c r="G58" s="14"/>
      <c r="H58" s="14"/>
    </row>
    <row r="59" spans="1:19">
      <c r="E59" s="14"/>
      <c r="F59" s="14"/>
      <c r="G59" s="14"/>
      <c r="H59" s="14"/>
    </row>
    <row r="60" spans="1:19">
      <c r="E60" s="14"/>
      <c r="F60" s="14"/>
      <c r="G60" s="14"/>
      <c r="H60" s="14"/>
    </row>
    <row r="61" spans="1:19">
      <c r="E61" s="14"/>
      <c r="F61" s="14"/>
      <c r="G61" s="14"/>
      <c r="H61" s="14"/>
    </row>
    <row r="62" spans="1:19">
      <c r="E62" s="14"/>
      <c r="F62" s="14"/>
      <c r="G62" s="14"/>
      <c r="H62" s="14"/>
    </row>
    <row r="63" spans="1:19">
      <c r="E63" s="14"/>
      <c r="F63" s="14"/>
      <c r="G63" s="14"/>
      <c r="H63" s="14"/>
    </row>
    <row r="64" spans="1:19">
      <c r="E64" s="14"/>
      <c r="F64" s="14"/>
      <c r="G64" s="14"/>
      <c r="H64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9AB6A-D7CC-4786-8BA1-BF39A8E1AB7B}">
  <dimension ref="A1:M61"/>
  <sheetViews>
    <sheetView topLeftCell="A48" workbookViewId="0">
      <selection activeCell="K34" sqref="K34"/>
    </sheetView>
  </sheetViews>
  <sheetFormatPr defaultColWidth="8.85546875" defaultRowHeight="15"/>
  <cols>
    <col min="1" max="1" width="39" bestFit="1" customWidth="1"/>
    <col min="2" max="2" width="20.42578125" bestFit="1" customWidth="1"/>
    <col min="5" max="5" width="10.85546875" bestFit="1" customWidth="1"/>
  </cols>
  <sheetData>
    <row r="1" spans="1:3">
      <c r="A1" t="s">
        <v>19</v>
      </c>
    </row>
    <row r="2" spans="1:3">
      <c r="A2" t="s">
        <v>20</v>
      </c>
      <c r="B2">
        <f>COUNTIF('CPI Data'!Q2:Q52, "Match")</f>
        <v>36</v>
      </c>
    </row>
    <row r="3" spans="1:3">
      <c r="A3" t="s">
        <v>21</v>
      </c>
      <c r="B3" s="2">
        <f>B2/COUNTA('CPI Data'!Q2:Q52)</f>
        <v>0.70588235294117652</v>
      </c>
      <c r="C3" s="1" t="s">
        <v>22</v>
      </c>
    </row>
    <row r="5" spans="1:3">
      <c r="A5" t="s">
        <v>23</v>
      </c>
      <c r="B5">
        <f>COUNTIF('CPI Data'!D2:D52,"&gt;0")</f>
        <v>17</v>
      </c>
    </row>
    <row r="6" spans="1:3">
      <c r="A6" t="s">
        <v>24</v>
      </c>
      <c r="B6">
        <f>COUNTIFS('CPI Data'!D2:D52,"&gt;0",'CPI Data'!P2:P52,"Down")</f>
        <v>13</v>
      </c>
      <c r="C6" s="1" t="s">
        <v>25</v>
      </c>
    </row>
    <row r="7" spans="1:3">
      <c r="A7" t="s">
        <v>26</v>
      </c>
      <c r="B7" s="2">
        <f>B6/B5</f>
        <v>0.76470588235294112</v>
      </c>
    </row>
    <row r="9" spans="1:3">
      <c r="A9" t="s">
        <v>27</v>
      </c>
      <c r="B9">
        <f>COUNTIF('CPI Data'!D2:D52,"&lt;0")</f>
        <v>21</v>
      </c>
    </row>
    <row r="10" spans="1:3">
      <c r="A10" t="s">
        <v>28</v>
      </c>
      <c r="B10">
        <f>COUNTIFS('CPI Data'!D2:D52,"&lt;0",'CPI Data'!P2:P52,"UP")</f>
        <v>14</v>
      </c>
      <c r="C10" s="1" t="s">
        <v>29</v>
      </c>
    </row>
    <row r="11" spans="1:3">
      <c r="A11" t="s">
        <v>30</v>
      </c>
      <c r="B11" s="2">
        <f>B10/B9</f>
        <v>0.66666666666666663</v>
      </c>
    </row>
    <row r="13" spans="1:3">
      <c r="A13" t="s">
        <v>31</v>
      </c>
      <c r="B13">
        <f>COUNTIF('CPI Data'!D2:D52,0)</f>
        <v>13</v>
      </c>
    </row>
    <row r="14" spans="1:3">
      <c r="A14" t="s">
        <v>32</v>
      </c>
      <c r="B14">
        <f>COUNTIFS('CPI Data'!D2:D52,0,'CPI Data'!P2:P52,"UP")</f>
        <v>12</v>
      </c>
      <c r="C14" s="1" t="s">
        <v>33</v>
      </c>
    </row>
    <row r="15" spans="1:3">
      <c r="A15" t="s">
        <v>34</v>
      </c>
      <c r="B15" s="2">
        <f>B14/B13</f>
        <v>0.92307692307692313</v>
      </c>
      <c r="C15" s="1" t="s">
        <v>35</v>
      </c>
    </row>
    <row r="16" spans="1:3">
      <c r="A16" t="s">
        <v>36</v>
      </c>
      <c r="B16">
        <f>COUNTIFS('CPI Data'!D2:D52,0,'CPI Data'!P2:P52,"DOWN")</f>
        <v>1</v>
      </c>
    </row>
    <row r="17" spans="1:13">
      <c r="A17" t="s">
        <v>37</v>
      </c>
      <c r="B17" s="2">
        <f>B16/B13</f>
        <v>7.6923076923076927E-2</v>
      </c>
    </row>
    <row r="18" spans="1:13">
      <c r="A18" s="8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</row>
    <row r="19" spans="1:13">
      <c r="A19" t="s">
        <v>38</v>
      </c>
      <c r="B19">
        <f>COUNTIFS('CPI Data'!O2:O52,"UP",'CPI Data'!P2:P52,"DOWN")</f>
        <v>8</v>
      </c>
    </row>
    <row r="20" spans="1:13">
      <c r="A20" t="s">
        <v>39</v>
      </c>
      <c r="B20">
        <f>COUNTIFS('CPI Data'!O2:O52,"DOWN",'CPI Data'!P2:P52,"UP")</f>
        <v>7</v>
      </c>
      <c r="C20" s="1" t="s">
        <v>40</v>
      </c>
      <c r="J20" s="7"/>
    </row>
    <row r="21" spans="1:13">
      <c r="A21" t="s">
        <v>41</v>
      </c>
      <c r="B21">
        <f>B19+B20</f>
        <v>15</v>
      </c>
    </row>
    <row r="22" spans="1:13">
      <c r="A22" t="s">
        <v>42</v>
      </c>
      <c r="B22" s="2">
        <f>B21/COUNTA('CPI Data'!Q2:Q52)</f>
        <v>0.29411764705882354</v>
      </c>
      <c r="E22" s="3"/>
    </row>
    <row r="24" spans="1:13">
      <c r="A24" t="s">
        <v>43</v>
      </c>
      <c r="B24">
        <f>COUNTIF('CPI Data'!O2:O52,"UP")</f>
        <v>31</v>
      </c>
    </row>
    <row r="25" spans="1:13">
      <c r="A25" t="s">
        <v>44</v>
      </c>
      <c r="B25">
        <f>COUNTIFS('CPI Data'!O2:O52,"UP",'CPI Data'!P2:P52,"UP")</f>
        <v>23</v>
      </c>
    </row>
    <row r="26" spans="1:13">
      <c r="A26" t="s">
        <v>45</v>
      </c>
      <c r="B26" s="2">
        <f>B25/B24</f>
        <v>0.74193548387096775</v>
      </c>
    </row>
    <row r="27" spans="1:13">
      <c r="C27" s="1" t="s">
        <v>46</v>
      </c>
      <c r="J27" s="7"/>
    </row>
    <row r="28" spans="1:13">
      <c r="A28" t="s">
        <v>47</v>
      </c>
      <c r="B28">
        <f>COUNTIF('CPI Data'!O2:O52,"DOWN")</f>
        <v>20</v>
      </c>
    </row>
    <row r="29" spans="1:13">
      <c r="A29" t="s">
        <v>48</v>
      </c>
      <c r="B29">
        <f>COUNTIFS('CPI Data'!O2:O52,"DOWN",'CPI Data'!P2:P52,"DOWN")</f>
        <v>13</v>
      </c>
    </row>
    <row r="30" spans="1:13">
      <c r="A30" t="s">
        <v>49</v>
      </c>
      <c r="B30" s="2">
        <f>B29/B28</f>
        <v>0.65</v>
      </c>
    </row>
    <row r="33" spans="1:10">
      <c r="A33" t="s">
        <v>50</v>
      </c>
      <c r="B33" s="2">
        <f>AVERAGEIF('CPI Data'!D2:D52,"&gt;0",'CPI Data'!J2:J52)</f>
        <v>-8.1662518212543018E-3</v>
      </c>
      <c r="C33" s="1"/>
      <c r="J33" s="7"/>
    </row>
    <row r="34" spans="1:10">
      <c r="A34" t="s">
        <v>51</v>
      </c>
      <c r="B34" s="2">
        <f>AVERAGEIF('CPI Data'!D2:D52,"&lt;0",'CPI Data'!J2:J52)</f>
        <v>4.986160664024436E-3</v>
      </c>
      <c r="C34" s="1"/>
    </row>
    <row r="35" spans="1:10">
      <c r="A35" t="s">
        <v>52</v>
      </c>
      <c r="B35" s="2">
        <f>AVERAGEIF('CPI Data'!D2:D52,0,'CPI Data'!J2:J52)</f>
        <v>2.0256800993205142E-3</v>
      </c>
      <c r="C35" s="1"/>
    </row>
    <row r="36" spans="1:10">
      <c r="A36" t="s">
        <v>53</v>
      </c>
      <c r="B36" s="2">
        <f>AVERAGEIF('CPI Data'!D2:D52,"&gt;0",'CPI Data'!N2:N52)</f>
        <v>-9.1044321929574078E-3</v>
      </c>
      <c r="C36" s="1" t="s">
        <v>54</v>
      </c>
    </row>
    <row r="37" spans="1:10">
      <c r="A37" t="s">
        <v>55</v>
      </c>
      <c r="B37" s="2">
        <f>AVERAGEIF('CPI Data'!D2:D52,"&lt;0",'CPI Data'!N2:N52)</f>
        <v>4.3945776973413264E-3</v>
      </c>
      <c r="C37" s="1" t="s">
        <v>56</v>
      </c>
      <c r="E37" s="2"/>
      <c r="F37" s="2"/>
    </row>
    <row r="38" spans="1:10">
      <c r="A38" t="s">
        <v>57</v>
      </c>
      <c r="B38" s="2">
        <f>AVERAGEIF('CPI Data'!D2:D52,0,'CPI Data'!N2:N52)</f>
        <v>7.4086579114179783E-3</v>
      </c>
      <c r="C38" s="1" t="s">
        <v>58</v>
      </c>
    </row>
    <row r="41" spans="1:10">
      <c r="A41" t="s">
        <v>59</v>
      </c>
      <c r="B41" s="2">
        <f>MAX('CPI Data'!N:N)</f>
        <v>5.4005870594802906E-2</v>
      </c>
      <c r="C41" s="2"/>
    </row>
    <row r="42" spans="1:10">
      <c r="A42" t="s">
        <v>60</v>
      </c>
      <c r="B42" s="2">
        <f>MIN('CPI Data'!N:N)</f>
        <v>-5.0434018239753874E-2</v>
      </c>
      <c r="J42" s="7"/>
    </row>
    <row r="43" spans="1:10">
      <c r="A43" t="s">
        <v>61</v>
      </c>
      <c r="B43" s="2">
        <f>MAX('CPI Data'!J:J)</f>
        <v>2.2473933478597542E-2</v>
      </c>
      <c r="C43" s="1" t="s">
        <v>62</v>
      </c>
    </row>
    <row r="44" spans="1:10">
      <c r="A44" t="s">
        <v>63</v>
      </c>
      <c r="B44" s="2">
        <f>MIN('CPI Data'!J:J)</f>
        <v>-2.8217777379137141E-2</v>
      </c>
    </row>
    <row r="45" spans="1:10">
      <c r="A45" t="s">
        <v>64</v>
      </c>
      <c r="B45" s="2">
        <f>MAX('CPI Data'!L:L)</f>
        <v>2.7444130305595074E-2</v>
      </c>
    </row>
    <row r="46" spans="1:10">
      <c r="A46" t="s">
        <v>65</v>
      </c>
      <c r="B46" s="2">
        <f>MIN('CPI Data'!L:L)</f>
        <v>-2.872006457978294E-2</v>
      </c>
    </row>
    <row r="47" spans="1:10">
      <c r="A47" t="s">
        <v>66</v>
      </c>
      <c r="B47" cm="1">
        <f t="array" ref="B47">MAX(ABS('CPI Data'!M2:M52-'CPI Data'!I2:I52))</f>
        <v>542</v>
      </c>
    </row>
    <row r="49" spans="1:10">
      <c r="A49" t="s">
        <v>67</v>
      </c>
      <c r="B49" s="4">
        <f>CORREL('CPI Data'!R2:R52,'CPI Data'!S2:S52)</f>
        <v>0.43922827950018417</v>
      </c>
      <c r="C49" s="1" t="s">
        <v>68</v>
      </c>
    </row>
    <row r="50" spans="1:10">
      <c r="A50" t="s">
        <v>69</v>
      </c>
      <c r="B50" s="4" cm="1">
        <f t="array" ref="B50">CORREL('CPI Data'!R2:R52,ABS('CPI Data'!N2:N52))</f>
        <v>0.32063512880339018</v>
      </c>
      <c r="C50" s="1" t="s">
        <v>70</v>
      </c>
      <c r="J50" s="7"/>
    </row>
    <row r="53" spans="1:10">
      <c r="A53" t="s">
        <v>71</v>
      </c>
      <c r="B53" s="4">
        <f>CORREL('CPI Data'!J2:J52,'CPI Data'!L2:L52)</f>
        <v>0.95709526067231709</v>
      </c>
      <c r="C53" s="1" t="s">
        <v>72</v>
      </c>
    </row>
    <row r="54" spans="1:10">
      <c r="A54" t="s">
        <v>73</v>
      </c>
      <c r="B54" s="2">
        <f>AVERAGEIF('CPI Data'!D2:D52,"&gt;0",'CPI Data'!L2:L52)</f>
        <v>-9.2844987837348344E-3</v>
      </c>
      <c r="J54" s="7"/>
    </row>
    <row r="55" spans="1:10">
      <c r="A55" t="s">
        <v>74</v>
      </c>
      <c r="B55" s="2">
        <f>AVERAGEIF('CPI Data'!D2:D52,"&lt;0",'CPI Data'!L2:L52)</f>
        <v>5.6682137794758112E-3</v>
      </c>
    </row>
    <row r="56" spans="1:10">
      <c r="A56" t="s">
        <v>75</v>
      </c>
      <c r="B56" s="2">
        <f>AVERAGEIF('CPI Data'!D2:D52,0,'CPI Data'!L2:L52)</f>
        <v>1.1111727731247939E-3</v>
      </c>
      <c r="C56" s="1" t="s">
        <v>76</v>
      </c>
    </row>
    <row r="58" spans="1:10">
      <c r="A58" t="s">
        <v>77</v>
      </c>
      <c r="B58">
        <f>COUNTIF('CPI Data'!P2:P52,"UP")</f>
        <v>30</v>
      </c>
    </row>
    <row r="59" spans="1:10">
      <c r="A59" t="s">
        <v>78</v>
      </c>
      <c r="B59" s="2">
        <f>B58/51</f>
        <v>0.58823529411764708</v>
      </c>
    </row>
    <row r="60" spans="1:10">
      <c r="A60" t="s">
        <v>79</v>
      </c>
      <c r="B60">
        <f>COUNTIF('CPI Data'!P2:P52,"DOWN")</f>
        <v>21</v>
      </c>
    </row>
    <row r="61" spans="1:10">
      <c r="A61" t="s">
        <v>80</v>
      </c>
      <c r="B61" s="2">
        <f>B60/51</f>
        <v>0.41176470588235292</v>
      </c>
      <c r="J61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15EAF-E426-464A-959F-3C37D161EC2D}">
  <dimension ref="A1:AQ54"/>
  <sheetViews>
    <sheetView topLeftCell="AL1" workbookViewId="0">
      <selection activeCell="AY22" sqref="AY22"/>
    </sheetView>
  </sheetViews>
  <sheetFormatPr defaultColWidth="11.42578125" defaultRowHeight="15"/>
  <cols>
    <col min="1" max="1" width="9" bestFit="1" customWidth="1"/>
    <col min="2" max="2" width="14.28515625" bestFit="1" customWidth="1"/>
    <col min="12" max="12" width="13.140625" bestFit="1" customWidth="1"/>
    <col min="13" max="13" width="12.85546875" bestFit="1" customWidth="1"/>
    <col min="27" max="27" width="12" bestFit="1" customWidth="1"/>
    <col min="28" max="28" width="9.42578125" bestFit="1" customWidth="1"/>
    <col min="42" max="42" width="9.85546875" bestFit="1" customWidth="1"/>
  </cols>
  <sheetData>
    <row r="1" spans="1:43">
      <c r="A1" t="s">
        <v>81</v>
      </c>
      <c r="B1" t="s">
        <v>82</v>
      </c>
      <c r="L1" t="s">
        <v>83</v>
      </c>
      <c r="M1" t="s">
        <v>84</v>
      </c>
      <c r="AA1" t="s">
        <v>85</v>
      </c>
      <c r="AB1" t="s">
        <v>86</v>
      </c>
      <c r="AP1" t="s">
        <v>87</v>
      </c>
      <c r="AQ1" t="s">
        <v>88</v>
      </c>
    </row>
    <row r="2" spans="1:43">
      <c r="A2" t="s">
        <v>89</v>
      </c>
      <c r="B2" s="2">
        <v>-9.1000000000000004E-3</v>
      </c>
      <c r="L2">
        <f>'CPI Data'!R2</f>
        <v>0.10000000000000009</v>
      </c>
      <c r="M2" s="2">
        <f>'CPI Data'!S2</f>
        <v>1.3123489071981845E-3</v>
      </c>
      <c r="AA2" t="s">
        <v>90</v>
      </c>
      <c r="AB2" s="2">
        <v>0.70589999999999997</v>
      </c>
      <c r="AP2" s="2">
        <f>'CPI Data'!J2</f>
        <v>-1.3123489071981845E-3</v>
      </c>
      <c r="AQ2" s="2">
        <f>'CPI Data'!L2</f>
        <v>-9.3739207657013175E-4</v>
      </c>
    </row>
    <row r="3" spans="1:43">
      <c r="A3" t="s">
        <v>91</v>
      </c>
      <c r="B3" s="2">
        <v>4.4000000000000003E-3</v>
      </c>
      <c r="L3">
        <f>'CPI Data'!R3</f>
        <v>0</v>
      </c>
      <c r="M3" s="2">
        <f>'CPI Data'!S3</f>
        <v>1.9333346552715591E-3</v>
      </c>
      <c r="AA3" t="s">
        <v>92</v>
      </c>
      <c r="AB3" s="2">
        <v>0.29409999999999997</v>
      </c>
      <c r="AP3" s="2">
        <f>'CPI Data'!J3</f>
        <v>-1.9333346552715591E-3</v>
      </c>
      <c r="AQ3" s="2">
        <f>'CPI Data'!L3</f>
        <v>-3.0933354484344948E-3</v>
      </c>
    </row>
    <row r="4" spans="1:43">
      <c r="A4" t="s">
        <v>93</v>
      </c>
      <c r="B4" s="2">
        <v>7.4000000000000003E-3</v>
      </c>
      <c r="L4">
        <f>'CPI Data'!R4</f>
        <v>0.10000000000000009</v>
      </c>
      <c r="M4" s="2">
        <f>'CPI Data'!S4</f>
        <v>2.3473471967257516E-3</v>
      </c>
      <c r="AP4" s="2">
        <f>'CPI Data'!J4</f>
        <v>2.3473471967257516E-3</v>
      </c>
      <c r="AQ4" s="2">
        <f>'CPI Data'!L4</f>
        <v>2.1366878329170304E-3</v>
      </c>
    </row>
    <row r="5" spans="1:43">
      <c r="L5">
        <f>'CPI Data'!R5</f>
        <v>0</v>
      </c>
      <c r="M5" s="2">
        <f>'CPI Data'!S5</f>
        <v>4.3345549187151344E-3</v>
      </c>
      <c r="AP5" s="2">
        <f>'CPI Data'!J5</f>
        <v>4.3345549187151344E-3</v>
      </c>
      <c r="AQ5" s="2">
        <f>'CPI Data'!L5</f>
        <v>2.8418605096211811E-3</v>
      </c>
    </row>
    <row r="6" spans="1:43">
      <c r="L6">
        <f>'CPI Data'!R6</f>
        <v>0.39999999999999991</v>
      </c>
      <c r="M6" s="2">
        <f>'CPI Data'!S6</f>
        <v>1.8752652513348927E-3</v>
      </c>
      <c r="AP6" s="2">
        <f>'CPI Data'!J6</f>
        <v>1.8752652513348927E-3</v>
      </c>
      <c r="AQ6" s="2">
        <f>'CPI Data'!L6</f>
        <v>5.0632161786042101E-3</v>
      </c>
    </row>
    <row r="7" spans="1:43">
      <c r="L7">
        <f>'CPI Data'!R7</f>
        <v>0.10000000000000009</v>
      </c>
      <c r="M7" s="2">
        <f>'CPI Data'!S7</f>
        <v>4.5969669695825957E-3</v>
      </c>
      <c r="AP7" s="2">
        <f>'CPI Data'!J7</f>
        <v>4.5969669695825957E-3</v>
      </c>
      <c r="AQ7" s="2">
        <f>'CPI Data'!L7</f>
        <v>4.4130882907992917E-3</v>
      </c>
    </row>
    <row r="8" spans="1:43">
      <c r="L8">
        <f>'CPI Data'!R8</f>
        <v>0</v>
      </c>
      <c r="M8" s="2">
        <f>'CPI Data'!S8</f>
        <v>1.5818613234906407E-3</v>
      </c>
      <c r="AP8" s="2">
        <f>'CPI Data'!J8</f>
        <v>-1.5818613234906407E-3</v>
      </c>
      <c r="AQ8" s="2">
        <f>'CPI Data'!L8</f>
        <v>-8.6191161856861835E-4</v>
      </c>
    </row>
    <row r="9" spans="1:43">
      <c r="L9">
        <f>'CPI Data'!R9</f>
        <v>9.9999999999999645E-2</v>
      </c>
      <c r="M9" s="2">
        <f>'CPI Data'!S9</f>
        <v>4.6461061937826276E-3</v>
      </c>
      <c r="AP9" s="2">
        <f>'CPI Data'!J9</f>
        <v>4.6461061937826276E-3</v>
      </c>
      <c r="AQ9" s="2">
        <f>'CPI Data'!L9</f>
        <v>4.6768751089732415E-3</v>
      </c>
    </row>
    <row r="10" spans="1:43">
      <c r="L10">
        <f>'CPI Data'!R10</f>
        <v>0.10000000000000009</v>
      </c>
      <c r="M10" s="2">
        <f>'CPI Data'!S10</f>
        <v>1.5299172168081316E-3</v>
      </c>
      <c r="AP10" s="2">
        <f>'CPI Data'!J10</f>
        <v>1.5299172168081316E-3</v>
      </c>
      <c r="AQ10" s="2">
        <f>'CPI Data'!L10</f>
        <v>7.2304306821754168E-4</v>
      </c>
    </row>
    <row r="11" spans="1:43">
      <c r="L11">
        <f>'CPI Data'!R11</f>
        <v>0.10000000000000009</v>
      </c>
      <c r="M11" s="2">
        <f>'CPI Data'!S11</f>
        <v>4.7640901243471232E-3</v>
      </c>
      <c r="AP11" s="2">
        <f>'CPI Data'!J11</f>
        <v>4.7640901243471232E-3</v>
      </c>
      <c r="AQ11" s="2">
        <f>'CPI Data'!L11</f>
        <v>4.1194082038506089E-3</v>
      </c>
    </row>
    <row r="12" spans="1:43">
      <c r="L12">
        <f>'CPI Data'!R12</f>
        <v>0.10000000000000009</v>
      </c>
      <c r="M12" s="2">
        <f>'CPI Data'!S12</f>
        <v>1.654439031069224E-3</v>
      </c>
      <c r="AP12" s="2">
        <f>'CPI Data'!J12</f>
        <v>1.654439031069224E-3</v>
      </c>
      <c r="AQ12" s="2">
        <f>'CPI Data'!L12</f>
        <v>-1.1409924352201545E-4</v>
      </c>
    </row>
    <row r="13" spans="1:43">
      <c r="L13">
        <f>'CPI Data'!R13</f>
        <v>0.10000000000000009</v>
      </c>
      <c r="M13" s="2">
        <f>'CPI Data'!S13</f>
        <v>3.7821291236591783E-3</v>
      </c>
      <c r="AP13" s="2">
        <f>'CPI Data'!J13</f>
        <v>3.7821291236591783E-3</v>
      </c>
      <c r="AQ13" s="2">
        <f>'CPI Data'!L13</f>
        <v>-2.2515685083991095E-3</v>
      </c>
    </row>
    <row r="14" spans="1:43">
      <c r="L14">
        <f>'CPI Data'!R14</f>
        <v>0.10000000000000009</v>
      </c>
      <c r="M14" s="2">
        <f>'CPI Data'!S14</f>
        <v>4.970023040640795E-3</v>
      </c>
      <c r="AP14" s="2">
        <f>'CPI Data'!J14</f>
        <v>4.970023040640795E-3</v>
      </c>
      <c r="AQ14" s="2">
        <f>'CPI Data'!L14</f>
        <v>2.9916643545604788E-3</v>
      </c>
    </row>
    <row r="15" spans="1:43">
      <c r="L15">
        <f>'CPI Data'!R15</f>
        <v>0.10000000000000009</v>
      </c>
      <c r="M15" s="2">
        <f>'CPI Data'!S15</f>
        <v>1.0226418793086549E-2</v>
      </c>
      <c r="AP15" s="2">
        <f>'CPI Data'!J15</f>
        <v>-1.0226418793086549E-2</v>
      </c>
      <c r="AQ15" s="2">
        <f>'CPI Data'!L15</f>
        <v>-1.1990721076877838E-2</v>
      </c>
    </row>
    <row r="16" spans="1:43">
      <c r="L16">
        <f>'CPI Data'!R16</f>
        <v>0</v>
      </c>
      <c r="M16" s="2">
        <f>'CPI Data'!S16</f>
        <v>1.3153434131127534E-2</v>
      </c>
      <c r="AP16" s="2">
        <f>'CPI Data'!J16</f>
        <v>1.3153434131127534E-2</v>
      </c>
      <c r="AQ16" s="2">
        <f>'CPI Data'!L16</f>
        <v>1.3345537550568401E-2</v>
      </c>
    </row>
    <row r="17" spans="12:43">
      <c r="L17">
        <f>'CPI Data'!R17</f>
        <v>0</v>
      </c>
      <c r="M17" s="2">
        <f>'CPI Data'!S17</f>
        <v>2.0750060065963349E-3</v>
      </c>
      <c r="AP17" s="2">
        <f>'CPI Data'!J17</f>
        <v>2.0750060065963349E-3</v>
      </c>
      <c r="AQ17" s="2">
        <f>'CPI Data'!L17</f>
        <v>2.7630343140466985E-3</v>
      </c>
    </row>
    <row r="18" spans="12:43">
      <c r="L18">
        <f>'CPI Data'!R18</f>
        <v>0</v>
      </c>
      <c r="M18" s="2">
        <f>'CPI Data'!S18</f>
        <v>2.7022836511839104E-3</v>
      </c>
      <c r="AP18" s="2">
        <f>'CPI Data'!J18</f>
        <v>2.7022836511839104E-3</v>
      </c>
      <c r="AQ18" s="2">
        <f>'CPI Data'!L18</f>
        <v>3.7765521518594814E-3</v>
      </c>
    </row>
    <row r="19" spans="12:43">
      <c r="L19">
        <f>'CPI Data'!R19</f>
        <v>0.10000000000000009</v>
      </c>
      <c r="M19" s="2">
        <f>'CPI Data'!S19</f>
        <v>2.0690680048926027E-3</v>
      </c>
      <c r="AP19" s="2">
        <f>'CPI Data'!J19</f>
        <v>-2.0690680048926027E-3</v>
      </c>
      <c r="AQ19" s="2">
        <f>'CPI Data'!L19</f>
        <v>-4.2295865293384702E-3</v>
      </c>
    </row>
    <row r="20" spans="12:43">
      <c r="L20">
        <f>'CPI Data'!R20</f>
        <v>0</v>
      </c>
      <c r="M20" s="2">
        <f>'CPI Data'!S20</f>
        <v>3.6317104381207725E-3</v>
      </c>
      <c r="AP20" s="2">
        <f>'CPI Data'!J20</f>
        <v>-3.6317104381207725E-3</v>
      </c>
      <c r="AQ20" s="2">
        <f>'CPI Data'!L20</f>
        <v>-3.5707756992261288E-3</v>
      </c>
    </row>
    <row r="21" spans="12:43">
      <c r="L21">
        <f>'CPI Data'!R21</f>
        <v>0.10000000000000009</v>
      </c>
      <c r="M21" s="2">
        <f>'CPI Data'!S21</f>
        <v>5.0686861146895584E-3</v>
      </c>
      <c r="AP21" s="2">
        <f>'CPI Data'!J21</f>
        <v>-5.0686861146895584E-3</v>
      </c>
      <c r="AQ21" s="2">
        <f>'CPI Data'!L21</f>
        <v>1.9985793231317496E-3</v>
      </c>
    </row>
    <row r="22" spans="12:43">
      <c r="L22">
        <f>'CPI Data'!R22</f>
        <v>0.10000000000000009</v>
      </c>
      <c r="M22" s="2">
        <f>'CPI Data'!S22</f>
        <v>3.4478553452844205E-3</v>
      </c>
      <c r="AP22" s="2">
        <f>'CPI Data'!J22</f>
        <v>3.4478553452844205E-3</v>
      </c>
      <c r="AQ22" s="2">
        <f>'CPI Data'!L22</f>
        <v>2.5720335694726223E-3</v>
      </c>
    </row>
    <row r="23" spans="12:43">
      <c r="L23">
        <f>'CPI Data'!R23</f>
        <v>0.10000000000000009</v>
      </c>
      <c r="M23" s="2">
        <f>'CPI Data'!S23</f>
        <v>7.0052126329693135E-3</v>
      </c>
      <c r="AP23" s="2">
        <f>'CPI Data'!J23</f>
        <v>7.0052126329693135E-3</v>
      </c>
      <c r="AQ23" s="2">
        <f>'CPI Data'!L23</f>
        <v>5.6843644597495109E-3</v>
      </c>
    </row>
    <row r="24" spans="12:43">
      <c r="L24">
        <f>'CPI Data'!R24</f>
        <v>0</v>
      </c>
      <c r="M24" s="2">
        <f>'CPI Data'!S24</f>
        <v>5.3990235023551551E-3</v>
      </c>
      <c r="AP24" s="2">
        <f>'CPI Data'!J24</f>
        <v>5.3990235023551551E-3</v>
      </c>
      <c r="AQ24" s="2">
        <f>'CPI Data'!L24</f>
        <v>3.960103798993986E-3</v>
      </c>
    </row>
    <row r="25" spans="12:43">
      <c r="L25">
        <f>'CPI Data'!R25</f>
        <v>0.10000000000000009</v>
      </c>
      <c r="M25" s="2">
        <f>'CPI Data'!S25</f>
        <v>1.36642601498026E-2</v>
      </c>
      <c r="AP25" s="2">
        <f>'CPI Data'!J25</f>
        <v>-1.36642601498026E-2</v>
      </c>
      <c r="AQ25" s="2">
        <f>'CPI Data'!L25</f>
        <v>-1.6259362662501383E-2</v>
      </c>
    </row>
    <row r="26" spans="12:43" ht="303.95" customHeight="1">
      <c r="L26">
        <f>'CPI Data'!R26</f>
        <v>0.10000000000000009</v>
      </c>
      <c r="M26" s="2">
        <f>'CPI Data'!S26</f>
        <v>1.4719342948321501E-3</v>
      </c>
      <c r="O26" t="s">
        <v>94</v>
      </c>
      <c r="AP26" s="2">
        <f>'CPI Data'!J26</f>
        <v>1.4719342948321501E-3</v>
      </c>
      <c r="AQ26" s="2">
        <f>'CPI Data'!L26</f>
        <v>3.2530984835366004E-3</v>
      </c>
    </row>
    <row r="27" spans="12:43">
      <c r="L27">
        <f>'CPI Data'!R27</f>
        <v>0.20000000000000018</v>
      </c>
      <c r="M27" s="2">
        <f>'CPI Data'!S27</f>
        <v>7.634923213415472E-3</v>
      </c>
      <c r="O27" s="5" t="s">
        <v>95</v>
      </c>
      <c r="AP27" s="2">
        <f>'CPI Data'!J27</f>
        <v>-7.634923213415472E-3</v>
      </c>
      <c r="AQ27" s="2">
        <f>'CPI Data'!L27</f>
        <v>-8.0972671723293383E-3</v>
      </c>
    </row>
    <row r="28" spans="12:43">
      <c r="L28">
        <f>'CPI Data'!R28</f>
        <v>0.19999999999999973</v>
      </c>
      <c r="M28" s="2">
        <f>'CPI Data'!S28</f>
        <v>4.0124019697246032E-3</v>
      </c>
      <c r="AP28" s="2">
        <f>'CPI Data'!J28</f>
        <v>-4.0124019697246032E-3</v>
      </c>
      <c r="AQ28" s="2">
        <f>'CPI Data'!L28</f>
        <v>-4.7028477632161747E-3</v>
      </c>
    </row>
    <row r="29" spans="12:43">
      <c r="L29">
        <f>'CPI Data'!R29</f>
        <v>0</v>
      </c>
      <c r="M29" s="2">
        <f>'CPI Data'!S29</f>
        <v>2.1807770523386491E-3</v>
      </c>
      <c r="AP29" s="2">
        <f>'CPI Data'!J29</f>
        <v>-2.1807770523386491E-3</v>
      </c>
      <c r="AQ29" s="2">
        <f>'CPI Data'!L29</f>
        <v>-1.1653109279674622E-2</v>
      </c>
    </row>
    <row r="30" spans="12:43">
      <c r="L30">
        <f>'CPI Data'!R30</f>
        <v>9.9999999999999645E-2</v>
      </c>
      <c r="M30" s="2">
        <f>'CPI Data'!S30</f>
        <v>1.0712149246671581E-2</v>
      </c>
      <c r="AP30" s="2">
        <f>'CPI Data'!J30</f>
        <v>1.0712149246671581E-2</v>
      </c>
      <c r="AQ30" s="2">
        <f>'CPI Data'!L30</f>
        <v>1.1115593828689083E-2</v>
      </c>
    </row>
    <row r="31" spans="12:43">
      <c r="L31">
        <f>'CPI Data'!R31</f>
        <v>0.10000000000000009</v>
      </c>
      <c r="M31" s="2">
        <f>'CPI Data'!S31</f>
        <v>3.0160199758718404E-3</v>
      </c>
      <c r="AP31" s="2">
        <f>'CPI Data'!J31</f>
        <v>-3.0160199758718404E-3</v>
      </c>
      <c r="AQ31" s="2">
        <f>'CPI Data'!L31</f>
        <v>-2.8897679768818563E-3</v>
      </c>
    </row>
    <row r="32" spans="12:43">
      <c r="L32">
        <f>'CPI Data'!R32</f>
        <v>0.10000000000000009</v>
      </c>
      <c r="M32" s="2">
        <f>'CPI Data'!S32</f>
        <v>1.7070815901045237E-3</v>
      </c>
      <c r="AP32" s="2">
        <f>'CPI Data'!J32</f>
        <v>-1.7070815901045237E-3</v>
      </c>
      <c r="AQ32" s="2">
        <f>'CPI Data'!L32</f>
        <v>-1.4272321491037821E-3</v>
      </c>
    </row>
    <row r="33" spans="12:43">
      <c r="L33">
        <f>'CPI Data'!R33</f>
        <v>9.9999999999999645E-2</v>
      </c>
      <c r="M33" s="2">
        <f>'CPI Data'!S33</f>
        <v>3.4985096348955346E-4</v>
      </c>
      <c r="AP33" s="2">
        <f>'CPI Data'!J33</f>
        <v>3.4985096348955346E-4</v>
      </c>
      <c r="AQ33" s="2">
        <f>'CPI Data'!L33</f>
        <v>-1.0215648133894961E-3</v>
      </c>
    </row>
    <row r="34" spans="12:43">
      <c r="L34">
        <f>'CPI Data'!R34</f>
        <v>0.10000000000000009</v>
      </c>
      <c r="M34" s="2">
        <f>'CPI Data'!S34</f>
        <v>5.4643281391936272E-3</v>
      </c>
      <c r="AP34" s="2">
        <f>'CPI Data'!J34</f>
        <v>5.4643281391936272E-3</v>
      </c>
      <c r="AQ34" s="2">
        <f>'CPI Data'!L34</f>
        <v>4.8773670603032629E-3</v>
      </c>
    </row>
    <row r="35" spans="12:43">
      <c r="L35">
        <f>'CPI Data'!R35</f>
        <v>9.9999999999999645E-2</v>
      </c>
      <c r="M35" s="2">
        <f>'CPI Data'!S35</f>
        <v>6.2437030835379092E-4</v>
      </c>
      <c r="AP35" s="2">
        <f>'CPI Data'!J35</f>
        <v>6.2437030835379092E-4</v>
      </c>
      <c r="AQ35" s="2">
        <f>'CPI Data'!L35</f>
        <v>3.3063245874189384E-3</v>
      </c>
    </row>
    <row r="36" spans="12:43">
      <c r="L36">
        <f>'CPI Data'!R36</f>
        <v>9.9999999999999645E-2</v>
      </c>
      <c r="M36" s="2">
        <f>'CPI Data'!S36</f>
        <v>3.4170164297639295E-3</v>
      </c>
      <c r="AP36" s="2">
        <f>'CPI Data'!J36</f>
        <v>3.4170164297639295E-3</v>
      </c>
      <c r="AQ36" s="2">
        <f>'CPI Data'!L36</f>
        <v>7.2865144872134935E-3</v>
      </c>
    </row>
    <row r="37" spans="12:43">
      <c r="L37">
        <f>'CPI Data'!R37</f>
        <v>9.9999999999999645E-2</v>
      </c>
      <c r="M37" s="2">
        <f>'CPI Data'!S37</f>
        <v>1.1191729501588657E-2</v>
      </c>
      <c r="AP37" s="2">
        <f>'CPI Data'!J37</f>
        <v>1.1191729501588657E-2</v>
      </c>
      <c r="AQ37" s="2">
        <f>'CPI Data'!L37</f>
        <v>9.1051358656992452E-3</v>
      </c>
    </row>
    <row r="38" spans="12:43">
      <c r="L38">
        <f>'CPI Data'!R38</f>
        <v>0</v>
      </c>
      <c r="M38" s="2">
        <f>'CPI Data'!S38</f>
        <v>1.508725462256718E-3</v>
      </c>
      <c r="AP38" s="2">
        <f>'CPI Data'!J38</f>
        <v>-1.508725462256718E-3</v>
      </c>
      <c r="AQ38" s="2">
        <f>'CPI Data'!L38</f>
        <v>3.1850870869864047E-4</v>
      </c>
    </row>
    <row r="39" spans="12:43">
      <c r="L39">
        <f>'CPI Data'!R39</f>
        <v>0.20000000000000018</v>
      </c>
      <c r="M39" s="2">
        <f>'CPI Data'!S39</f>
        <v>2.3115594135428284E-3</v>
      </c>
      <c r="AP39" s="2">
        <f>'CPI Data'!J39</f>
        <v>2.3115594135428284E-3</v>
      </c>
      <c r="AQ39" s="2">
        <f>'CPI Data'!L39</f>
        <v>-3.6209042561789759E-3</v>
      </c>
    </row>
    <row r="40" spans="12:43">
      <c r="L40">
        <f>'CPI Data'!R40</f>
        <v>0</v>
      </c>
      <c r="M40" s="2">
        <f>'CPI Data'!S40</f>
        <v>5.0949838046047448E-3</v>
      </c>
      <c r="AP40" s="2">
        <f>'CPI Data'!J40</f>
        <v>5.0949838046047448E-3</v>
      </c>
      <c r="AQ40" s="2">
        <f>'CPI Data'!L40</f>
        <v>1.5757681869911582E-3</v>
      </c>
    </row>
    <row r="41" spans="12:43">
      <c r="L41">
        <f>'CPI Data'!R41</f>
        <v>0.20000000000000018</v>
      </c>
      <c r="M41" s="2">
        <f>'CPI Data'!S41</f>
        <v>3.1337511668222428E-3</v>
      </c>
      <c r="AP41" s="2">
        <f>'CPI Data'!J41</f>
        <v>3.1337511668222428E-3</v>
      </c>
      <c r="AQ41" s="2">
        <f>'CPI Data'!L41</f>
        <v>1.1051473529803974E-2</v>
      </c>
    </row>
    <row r="42" spans="12:43">
      <c r="L42">
        <f>'CPI Data'!R42</f>
        <v>0.20000000000000018</v>
      </c>
      <c r="M42" s="2">
        <f>'CPI Data'!S42</f>
        <v>2.2473933478597542E-2</v>
      </c>
      <c r="AP42" s="2">
        <f>'CPI Data'!J42</f>
        <v>2.2473933478597542E-2</v>
      </c>
      <c r="AQ42" s="2">
        <f>'CPI Data'!L42</f>
        <v>2.7444130305595074E-2</v>
      </c>
    </row>
    <row r="43" spans="12:43">
      <c r="L43">
        <f>'CPI Data'!R43</f>
        <v>9.9999999999999645E-2</v>
      </c>
      <c r="M43" s="2">
        <f>'CPI Data'!S43</f>
        <v>2.8217777379137141E-2</v>
      </c>
      <c r="AP43" s="2">
        <f>'CPI Data'!J43</f>
        <v>-2.8217777379137141E-2</v>
      </c>
      <c r="AQ43" s="2">
        <f>'CPI Data'!L43</f>
        <v>-2.872006457978294E-2</v>
      </c>
    </row>
    <row r="44" spans="12:43">
      <c r="L44">
        <f>'CPI Data'!R44</f>
        <v>0.20000000000000107</v>
      </c>
      <c r="M44" s="2">
        <f>'CPI Data'!S44</f>
        <v>2.0688464375971244E-2</v>
      </c>
      <c r="AP44" s="2">
        <f>'CPI Data'!J44</f>
        <v>-2.0688464375971244E-2</v>
      </c>
      <c r="AQ44" s="2">
        <f>'CPI Data'!L44</f>
        <v>-2.4769648547255402E-2</v>
      </c>
    </row>
    <row r="45" spans="12:43">
      <c r="L45">
        <f>'CPI Data'!R45</f>
        <v>0.19999999999999929</v>
      </c>
      <c r="M45" s="2">
        <f>'CPI Data'!S45</f>
        <v>1.4633844822524068E-2</v>
      </c>
      <c r="AP45" s="2">
        <f>'CPI Data'!J45</f>
        <v>1.4633844822524068E-2</v>
      </c>
      <c r="AQ45" s="2">
        <f>'CPI Data'!L45</f>
        <v>1.5514657024090986E-2</v>
      </c>
    </row>
    <row r="46" spans="12:43">
      <c r="L46">
        <f>'CPI Data'!R46</f>
        <v>0.40000000000000036</v>
      </c>
      <c r="M46" s="2">
        <f>'CPI Data'!S46</f>
        <v>2.5986140724946694E-2</v>
      </c>
      <c r="AP46" s="2">
        <f>'CPI Data'!J46</f>
        <v>-2.5986140724946694E-2</v>
      </c>
      <c r="AQ46" s="2">
        <f>'CPI Data'!L46</f>
        <v>-2.706889658848614E-2</v>
      </c>
    </row>
    <row r="47" spans="12:43">
      <c r="L47">
        <f>'CPI Data'!R47</f>
        <v>0.29999999999999893</v>
      </c>
      <c r="M47" s="2">
        <f>'CPI Data'!S47</f>
        <v>1.5434750887660305E-2</v>
      </c>
      <c r="AP47" s="2">
        <f>'CPI Data'!J47</f>
        <v>-1.5434750887660305E-2</v>
      </c>
      <c r="AQ47" s="2">
        <f>'CPI Data'!L47</f>
        <v>-1.3067656738922486E-2</v>
      </c>
    </row>
    <row r="48" spans="12:43">
      <c r="L48">
        <f>'CPI Data'!R48</f>
        <v>0.20000000000000107</v>
      </c>
      <c r="M48" s="2">
        <f>'CPI Data'!S48</f>
        <v>1.0415663617396886E-2</v>
      </c>
      <c r="AP48" s="2">
        <f>'CPI Data'!J48</f>
        <v>-1.0415663617396886E-2</v>
      </c>
      <c r="AQ48" s="2">
        <f>'CPI Data'!L48</f>
        <v>-1.555127587867116E-2</v>
      </c>
    </row>
    <row r="49" spans="12:43">
      <c r="L49">
        <f>'CPI Data'!R49</f>
        <v>9.9999999999999645E-2</v>
      </c>
      <c r="M49" s="2">
        <f>'CPI Data'!S49</f>
        <v>9.0466756016549157E-3</v>
      </c>
      <c r="AP49" s="2">
        <f>'CPI Data'!J49</f>
        <v>9.0466756016549157E-3</v>
      </c>
      <c r="AQ49" s="2">
        <f>'CPI Data'!L49</f>
        <v>1.0751121729502943E-2</v>
      </c>
    </row>
    <row r="50" spans="12:43">
      <c r="L50">
        <f>'CPI Data'!R50</f>
        <v>0</v>
      </c>
      <c r="M50" s="2">
        <f>'CPI Data'!S50</f>
        <v>3.871490523851683E-3</v>
      </c>
      <c r="AP50" s="2">
        <f>'CPI Data'!J50</f>
        <v>3.871490523851683E-3</v>
      </c>
      <c r="AQ50" s="2">
        <f>'CPI Data'!L50</f>
        <v>9.903812967992677E-4</v>
      </c>
    </row>
    <row r="51" spans="12:43">
      <c r="L51">
        <f>'CPI Data'!R51</f>
        <v>0.29999999999999982</v>
      </c>
      <c r="M51" s="2">
        <f>'CPI Data'!S51</f>
        <v>1.0113396806150709E-2</v>
      </c>
      <c r="AP51" s="2">
        <f>'CPI Data'!J51</f>
        <v>-1.0113396806150709E-2</v>
      </c>
      <c r="AQ51" s="2">
        <f>'CPI Data'!L51</f>
        <v>-1.0168510685203301E-2</v>
      </c>
    </row>
    <row r="52" spans="12:43">
      <c r="L52">
        <f>'CPI Data'!R52</f>
        <v>0</v>
      </c>
      <c r="M52" s="2">
        <f>'CPI Data'!S52</f>
        <v>5.3947368421052629E-4</v>
      </c>
      <c r="AP52" s="2">
        <f>'CPI Data'!J52</f>
        <v>5.3947368421052629E-4</v>
      </c>
      <c r="AQ52" s="2">
        <f>'CPI Data'!L52</f>
        <v>4.0526315789473685E-3</v>
      </c>
    </row>
    <row r="53" spans="12:43">
      <c r="M53" s="2"/>
      <c r="AP53" s="2"/>
    </row>
    <row r="54" spans="12:43">
      <c r="AP54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2026-04-23T02:32:14Z</dcterms:created>
  <dcterms:modified xsi:type="dcterms:W3CDTF">2026-04-30T03:27:25Z</dcterms:modified>
  <cp:category/>
  <cp:contentStatus/>
</cp:coreProperties>
</file>